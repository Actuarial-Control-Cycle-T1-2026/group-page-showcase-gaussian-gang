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d0221e7177996/Desktop/ACTL4001/"/>
    </mc:Choice>
  </mc:AlternateContent>
  <xr:revisionPtr revIDLastSave="196" documentId="8_{10CCA886-A87F-48FF-B2D6-83A6F2379593}" xr6:coauthVersionLast="47" xr6:coauthVersionMax="47" xr10:uidLastSave="{C6ABAD54-501A-4FD2-B7BE-CF96D6A9828F}"/>
  <bookViews>
    <workbookView xWindow="-105" yWindow="-16320" windowWidth="29040" windowHeight="15720" xr2:uid="{00000000-000D-0000-FFFF-FFFF00000000}"/>
  </bookViews>
  <sheets>
    <sheet name="Summary" sheetId="11" r:id="rId1"/>
    <sheet name="Aggregate Projection" sheetId="1" r:id="rId2"/>
    <sheet name="Business Interruption" sheetId="13" r:id="rId3"/>
    <sheet name="Equipment Failure" sheetId="14" r:id="rId4"/>
    <sheet name="Interest, etc. BI and EF" sheetId="15" r:id="rId5"/>
    <sheet name="Workers Compensation" sheetId="16" r:id="rId6"/>
    <sheet name="Cargo Loss" sheetId="19" r:id="rId7"/>
    <sheet name="Summary CL" sheetId="20" r:id="rId8"/>
    <sheet name="Interest and Inflation CL" sheetId="21" r:id="rId9"/>
    <sheet name="Summary WC" sheetId="18" r:id="rId10"/>
    <sheet name="Interest and Inflation WC" sheetId="17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9" l="1"/>
  <c r="F15" i="19"/>
  <c r="E15" i="19"/>
  <c r="G15" i="19"/>
  <c r="H15" i="19"/>
  <c r="I15" i="19"/>
  <c r="J15" i="19"/>
  <c r="K15" i="19"/>
  <c r="L15" i="19"/>
  <c r="D15" i="19"/>
  <c r="F6" i="19"/>
  <c r="C6" i="19"/>
  <c r="K9" i="11"/>
  <c r="K29" i="11"/>
  <c r="K28" i="11"/>
  <c r="K27" i="11"/>
  <c r="K21" i="11"/>
  <c r="K23" i="11"/>
  <c r="K22" i="11"/>
  <c r="K17" i="11"/>
  <c r="K16" i="11"/>
  <c r="K15" i="11"/>
  <c r="D15" i="11"/>
  <c r="K11" i="11"/>
  <c r="K10" i="11"/>
  <c r="D9" i="11"/>
  <c r="L28" i="11"/>
  <c r="L29" i="11"/>
  <c r="L27" i="11"/>
  <c r="J27" i="11"/>
  <c r="J28" i="11"/>
  <c r="J29" i="11"/>
  <c r="I28" i="11"/>
  <c r="I29" i="11"/>
  <c r="I27" i="11"/>
  <c r="L22" i="11"/>
  <c r="L23" i="11"/>
  <c r="L21" i="11"/>
  <c r="J21" i="11"/>
  <c r="J22" i="11"/>
  <c r="J23" i="11"/>
  <c r="I22" i="11"/>
  <c r="I23" i="11"/>
  <c r="I21" i="11"/>
  <c r="L16" i="11"/>
  <c r="L17" i="11"/>
  <c r="L15" i="11"/>
  <c r="J15" i="11"/>
  <c r="J16" i="11"/>
  <c r="J17" i="11"/>
  <c r="I16" i="11"/>
  <c r="I17" i="11"/>
  <c r="I15" i="11"/>
  <c r="L10" i="11"/>
  <c r="L11" i="11"/>
  <c r="L9" i="11"/>
  <c r="J9" i="11"/>
  <c r="J10" i="11"/>
  <c r="J11" i="11"/>
  <c r="I10" i="11"/>
  <c r="I11" i="11"/>
  <c r="I9" i="11"/>
  <c r="L4" i="11"/>
  <c r="L5" i="11"/>
  <c r="L3" i="11"/>
  <c r="J3" i="11"/>
  <c r="J4" i="11"/>
  <c r="J5" i="11"/>
  <c r="I4" i="11"/>
  <c r="I5" i="11"/>
  <c r="I3" i="11"/>
  <c r="K4" i="11" l="1"/>
  <c r="K5" i="11"/>
  <c r="K3" i="11"/>
  <c r="D23" i="11"/>
  <c r="D22" i="11"/>
  <c r="D21" i="11"/>
  <c r="D17" i="11"/>
  <c r="D16" i="11"/>
  <c r="D11" i="11"/>
  <c r="D10" i="11"/>
  <c r="F24" i="16"/>
  <c r="F15" i="16"/>
  <c r="F6" i="16"/>
  <c r="E15" i="16"/>
  <c r="G15" i="16"/>
  <c r="H15" i="16"/>
  <c r="I15" i="16"/>
  <c r="J15" i="16"/>
  <c r="K15" i="16"/>
  <c r="L15" i="16"/>
  <c r="D15" i="16"/>
  <c r="G6" i="16"/>
  <c r="G24" i="16"/>
  <c r="F25" i="14"/>
  <c r="F16" i="14"/>
  <c r="F6" i="14"/>
  <c r="F25" i="13"/>
  <c r="F16" i="13"/>
  <c r="F6" i="13"/>
  <c r="M5" i="15" a="1"/>
  <c r="M5" i="15"/>
  <c r="L5" i="15" a="1"/>
  <c r="L5" i="15" s="1"/>
  <c r="B21" i="11"/>
  <c r="B22" i="11"/>
  <c r="B23" i="11"/>
  <c r="C21" i="11"/>
  <c r="C23" i="11"/>
  <c r="C25" i="14"/>
  <c r="C16" i="14"/>
  <c r="I16" i="14" s="1"/>
  <c r="C6" i="14"/>
  <c r="C6" i="1" s="1"/>
  <c r="C6" i="13"/>
  <c r="C25" i="13"/>
  <c r="C16" i="13"/>
  <c r="AA3" i="1"/>
  <c r="O3" i="1"/>
  <c r="C3" i="1"/>
  <c r="L24" i="19"/>
  <c r="K24" i="19"/>
  <c r="J24" i="19"/>
  <c r="I24" i="19"/>
  <c r="H24" i="19"/>
  <c r="G24" i="19"/>
  <c r="E24" i="19"/>
  <c r="D24" i="19"/>
  <c r="C24" i="19"/>
  <c r="O6" i="1" s="1"/>
  <c r="C22" i="19"/>
  <c r="O4" i="1" s="1"/>
  <c r="C15" i="19"/>
  <c r="C13" i="19"/>
  <c r="L6" i="19"/>
  <c r="K6" i="19"/>
  <c r="J6" i="19"/>
  <c r="I6" i="19"/>
  <c r="H6" i="19"/>
  <c r="G6" i="19"/>
  <c r="E6" i="19"/>
  <c r="D6" i="19"/>
  <c r="C4" i="19"/>
  <c r="AA4" i="1" s="1"/>
  <c r="C23" i="19"/>
  <c r="L22" i="19"/>
  <c r="K22" i="19"/>
  <c r="J22" i="19"/>
  <c r="I22" i="19"/>
  <c r="H22" i="19"/>
  <c r="G22" i="19"/>
  <c r="F22" i="19"/>
  <c r="E22" i="19"/>
  <c r="D22" i="19"/>
  <c r="C14" i="19"/>
  <c r="K13" i="19"/>
  <c r="I13" i="19"/>
  <c r="E13" i="19"/>
  <c r="C5" i="19"/>
  <c r="L4" i="19"/>
  <c r="K4" i="19"/>
  <c r="J4" i="19"/>
  <c r="I4" i="19"/>
  <c r="H4" i="19"/>
  <c r="G4" i="19"/>
  <c r="F4" i="19"/>
  <c r="E4" i="19"/>
  <c r="D4" i="19"/>
  <c r="J12" i="21"/>
  <c r="I12" i="21"/>
  <c r="H12" i="21"/>
  <c r="J11" i="21"/>
  <c r="I11" i="21"/>
  <c r="H11" i="21"/>
  <c r="K11" i="21" s="1"/>
  <c r="E11" i="21"/>
  <c r="J10" i="21"/>
  <c r="I10" i="21"/>
  <c r="H10" i="21"/>
  <c r="E10" i="21"/>
  <c r="J9" i="21"/>
  <c r="I9" i="21"/>
  <c r="H9" i="21"/>
  <c r="E9" i="21"/>
  <c r="J8" i="21"/>
  <c r="I8" i="21"/>
  <c r="H8" i="21"/>
  <c r="E8" i="21"/>
  <c r="J7" i="21"/>
  <c r="I7" i="21"/>
  <c r="H7" i="21"/>
  <c r="E7" i="21"/>
  <c r="J6" i="21"/>
  <c r="I6" i="21"/>
  <c r="H6" i="21"/>
  <c r="E6" i="21"/>
  <c r="J5" i="21"/>
  <c r="I5" i="21"/>
  <c r="H5" i="21"/>
  <c r="E5" i="21"/>
  <c r="J4" i="21"/>
  <c r="I4" i="21"/>
  <c r="H4" i="21"/>
  <c r="E4" i="21"/>
  <c r="J3" i="21"/>
  <c r="I3" i="21"/>
  <c r="H3" i="21"/>
  <c r="E3" i="21"/>
  <c r="J2" i="21"/>
  <c r="I2" i="21"/>
  <c r="H2" i="21"/>
  <c r="E2" i="21"/>
  <c r="F11" i="21" s="1"/>
  <c r="H5" i="18"/>
  <c r="H4" i="18"/>
  <c r="H3" i="18"/>
  <c r="L24" i="16"/>
  <c r="K24" i="16"/>
  <c r="J24" i="16"/>
  <c r="I24" i="16"/>
  <c r="H24" i="16"/>
  <c r="E24" i="16"/>
  <c r="D24" i="16"/>
  <c r="C24" i="16"/>
  <c r="C23" i="16"/>
  <c r="L22" i="16"/>
  <c r="K22" i="16"/>
  <c r="J22" i="16"/>
  <c r="I22" i="16"/>
  <c r="H22" i="16"/>
  <c r="G22" i="16"/>
  <c r="F22" i="16"/>
  <c r="E22" i="16"/>
  <c r="D22" i="16"/>
  <c r="C15" i="16"/>
  <c r="C14" i="16"/>
  <c r="L13" i="16"/>
  <c r="K13" i="16"/>
  <c r="J13" i="16"/>
  <c r="I13" i="16"/>
  <c r="H13" i="16"/>
  <c r="G13" i="16"/>
  <c r="F13" i="16"/>
  <c r="E13" i="16"/>
  <c r="D13" i="16"/>
  <c r="L6" i="16"/>
  <c r="K6" i="16"/>
  <c r="J6" i="16"/>
  <c r="I6" i="16"/>
  <c r="H6" i="16"/>
  <c r="E6" i="16"/>
  <c r="D6" i="16"/>
  <c r="C6" i="16"/>
  <c r="C5" i="16"/>
  <c r="L4" i="16"/>
  <c r="K4" i="16"/>
  <c r="J4" i="16"/>
  <c r="I4" i="16"/>
  <c r="H4" i="16"/>
  <c r="G4" i="16"/>
  <c r="F4" i="16"/>
  <c r="E4" i="16"/>
  <c r="D4" i="16"/>
  <c r="C22" i="16"/>
  <c r="C13" i="16"/>
  <c r="C4" i="16"/>
  <c r="J12" i="17"/>
  <c r="I12" i="17"/>
  <c r="H12" i="17"/>
  <c r="J11" i="17"/>
  <c r="I11" i="17"/>
  <c r="H11" i="17"/>
  <c r="K11" i="17" s="1"/>
  <c r="E11" i="17"/>
  <c r="J10" i="17"/>
  <c r="I10" i="17"/>
  <c r="H10" i="17"/>
  <c r="E10" i="17"/>
  <c r="J9" i="17"/>
  <c r="I9" i="17"/>
  <c r="H9" i="17"/>
  <c r="E9" i="17"/>
  <c r="J8" i="17"/>
  <c r="I8" i="17"/>
  <c r="H8" i="17"/>
  <c r="E8" i="17"/>
  <c r="J7" i="17"/>
  <c r="I7" i="17"/>
  <c r="H7" i="17"/>
  <c r="F7" i="17"/>
  <c r="E7" i="17"/>
  <c r="J6" i="17"/>
  <c r="I6" i="17"/>
  <c r="H6" i="17"/>
  <c r="F6" i="17"/>
  <c r="E6" i="17"/>
  <c r="J5" i="17"/>
  <c r="I5" i="17"/>
  <c r="H5" i="17"/>
  <c r="E5" i="17"/>
  <c r="J4" i="17"/>
  <c r="I4" i="17"/>
  <c r="H4" i="17"/>
  <c r="F4" i="17"/>
  <c r="E4" i="17"/>
  <c r="J3" i="17"/>
  <c r="I3" i="17"/>
  <c r="H3" i="17"/>
  <c r="F3" i="17"/>
  <c r="E3" i="17"/>
  <c r="J2" i="17"/>
  <c r="I2" i="17"/>
  <c r="H2" i="17"/>
  <c r="F2" i="17"/>
  <c r="E2" i="17"/>
  <c r="F11" i="17" s="1"/>
  <c r="J25" i="13"/>
  <c r="I25" i="13"/>
  <c r="H25" i="13"/>
  <c r="G25" i="13"/>
  <c r="C24" i="13"/>
  <c r="L23" i="13"/>
  <c r="K23" i="13"/>
  <c r="J23" i="13"/>
  <c r="I23" i="13"/>
  <c r="H23" i="13"/>
  <c r="G23" i="13"/>
  <c r="F23" i="13"/>
  <c r="E23" i="13"/>
  <c r="D23" i="13"/>
  <c r="J16" i="13"/>
  <c r="I16" i="13"/>
  <c r="H16" i="13"/>
  <c r="G16" i="13"/>
  <c r="E16" i="13"/>
  <c r="L16" i="13"/>
  <c r="C15" i="13"/>
  <c r="L14" i="13"/>
  <c r="K14" i="13"/>
  <c r="J14" i="13"/>
  <c r="I14" i="13"/>
  <c r="H14" i="13"/>
  <c r="G14" i="13"/>
  <c r="F14" i="13"/>
  <c r="E14" i="13"/>
  <c r="D14" i="13"/>
  <c r="L6" i="13"/>
  <c r="I6" i="13"/>
  <c r="H6" i="13"/>
  <c r="G6" i="13"/>
  <c r="E6" i="13"/>
  <c r="D6" i="13"/>
  <c r="K6" i="13"/>
  <c r="C5" i="13"/>
  <c r="L4" i="13"/>
  <c r="K4" i="13"/>
  <c r="J4" i="13"/>
  <c r="I4" i="13"/>
  <c r="H4" i="13"/>
  <c r="G4" i="13"/>
  <c r="F4" i="13"/>
  <c r="E4" i="13"/>
  <c r="D4" i="13"/>
  <c r="J25" i="14"/>
  <c r="G25" i="14"/>
  <c r="E25" i="14"/>
  <c r="C24" i="14"/>
  <c r="L23" i="14"/>
  <c r="K23" i="14"/>
  <c r="J23" i="14"/>
  <c r="I23" i="14"/>
  <c r="H23" i="14"/>
  <c r="G23" i="14"/>
  <c r="F23" i="14"/>
  <c r="E23" i="14"/>
  <c r="D23" i="14"/>
  <c r="L16" i="14"/>
  <c r="J16" i="14"/>
  <c r="G16" i="14"/>
  <c r="D16" i="14"/>
  <c r="C15" i="14"/>
  <c r="L14" i="14"/>
  <c r="K14" i="14"/>
  <c r="J14" i="14"/>
  <c r="I14" i="14"/>
  <c r="H14" i="14"/>
  <c r="G14" i="14"/>
  <c r="F14" i="14"/>
  <c r="E14" i="14"/>
  <c r="D14" i="14"/>
  <c r="H6" i="14"/>
  <c r="L6" i="14"/>
  <c r="C5" i="14"/>
  <c r="C7" i="14" s="1"/>
  <c r="C8" i="14" s="1"/>
  <c r="L4" i="14"/>
  <c r="K4" i="14"/>
  <c r="J4" i="14"/>
  <c r="I4" i="14"/>
  <c r="H4" i="14"/>
  <c r="G4" i="14"/>
  <c r="F4" i="14"/>
  <c r="E4" i="14"/>
  <c r="D4" i="14"/>
  <c r="J28" i="15"/>
  <c r="J29" i="15" s="1"/>
  <c r="J21" i="15"/>
  <c r="J22" i="15" s="1"/>
  <c r="K11" i="15" a="1"/>
  <c r="K11" i="15" s="1"/>
  <c r="J11" i="15" a="1"/>
  <c r="J11" i="15" s="1"/>
  <c r="H11" i="15" a="1"/>
  <c r="H11" i="15" s="1"/>
  <c r="G11" i="15" a="1"/>
  <c r="G11" i="15" s="1"/>
  <c r="K10" i="15" a="1"/>
  <c r="K10" i="15" s="1"/>
  <c r="J10" i="15" a="1"/>
  <c r="J10" i="15" s="1"/>
  <c r="H10" i="15" a="1"/>
  <c r="H10" i="15" s="1"/>
  <c r="G10" i="15" a="1"/>
  <c r="G10" i="15" s="1"/>
  <c r="K9" i="15" a="1"/>
  <c r="K9" i="15" s="1"/>
  <c r="J9" i="15" a="1"/>
  <c r="J9" i="15" s="1"/>
  <c r="H9" i="15" a="1"/>
  <c r="H9" i="15" s="1"/>
  <c r="G9" i="15" a="1"/>
  <c r="G9" i="15" s="1"/>
  <c r="K8" i="15" a="1"/>
  <c r="K8" i="15" s="1"/>
  <c r="J8" i="15" a="1"/>
  <c r="J8" i="15" s="1"/>
  <c r="H8" i="15" a="1"/>
  <c r="H8" i="15" s="1"/>
  <c r="G8" i="15" a="1"/>
  <c r="G8" i="15" s="1"/>
  <c r="K7" i="15" a="1"/>
  <c r="K7" i="15" s="1"/>
  <c r="J7" i="15" a="1"/>
  <c r="J7" i="15" s="1"/>
  <c r="H7" i="15" a="1"/>
  <c r="H7" i="15" s="1"/>
  <c r="G7" i="15" a="1"/>
  <c r="G7" i="15" s="1"/>
  <c r="K6" i="15" a="1"/>
  <c r="K6" i="15" s="1"/>
  <c r="J6" i="15" a="1"/>
  <c r="J6" i="15" s="1"/>
  <c r="H6" i="15" a="1"/>
  <c r="H6" i="15" s="1"/>
  <c r="G6" i="15" a="1"/>
  <c r="G6" i="15" s="1"/>
  <c r="K5" i="15" a="1"/>
  <c r="K5" i="15" s="1"/>
  <c r="J5" i="15" a="1"/>
  <c r="J5" i="15" s="1"/>
  <c r="H5" i="15" a="1"/>
  <c r="H5" i="15" s="1"/>
  <c r="G5" i="15" a="1"/>
  <c r="G5" i="15" s="1"/>
  <c r="K4" i="15" a="1"/>
  <c r="K4" i="15" s="1"/>
  <c r="J4" i="15" a="1"/>
  <c r="J4" i="15" s="1"/>
  <c r="H4" i="15" a="1"/>
  <c r="H4" i="15" s="1"/>
  <c r="G4" i="15" a="1"/>
  <c r="G4" i="15" s="1"/>
  <c r="K3" i="15" a="1"/>
  <c r="K3" i="15" s="1"/>
  <c r="J3" i="15" a="1"/>
  <c r="J3" i="15" s="1"/>
  <c r="H3" i="15" a="1"/>
  <c r="H3" i="15" s="1"/>
  <c r="G3" i="15" a="1"/>
  <c r="G3" i="15" s="1"/>
  <c r="L2" i="15"/>
  <c r="K2" i="15"/>
  <c r="J2" i="15"/>
  <c r="C26" i="14"/>
  <c r="C27" i="14" s="1"/>
  <c r="C17" i="14"/>
  <c r="C18" i="14" s="1"/>
  <c r="C17" i="13"/>
  <c r="C7" i="13"/>
  <c r="H13" i="19" l="1"/>
  <c r="C4" i="1"/>
  <c r="R6" i="1"/>
  <c r="AD6" i="1"/>
  <c r="E16" i="14"/>
  <c r="AA6" i="1"/>
  <c r="H16" i="14"/>
  <c r="AF6" i="1" s="1"/>
  <c r="S6" i="1"/>
  <c r="V6" i="1"/>
  <c r="AJ6" i="1"/>
  <c r="AC6" i="1"/>
  <c r="AE6" i="1"/>
  <c r="AG6" i="1"/>
  <c r="AH6" i="1"/>
  <c r="H6" i="1"/>
  <c r="L6" i="1"/>
  <c r="P4" i="1"/>
  <c r="Q4" i="1"/>
  <c r="R4" i="1"/>
  <c r="S4" i="1"/>
  <c r="T4" i="1"/>
  <c r="U4" i="1"/>
  <c r="V4" i="1"/>
  <c r="W4" i="1"/>
  <c r="X4" i="1"/>
  <c r="AB4" i="1"/>
  <c r="AC4" i="1"/>
  <c r="AD4" i="1"/>
  <c r="AE4" i="1"/>
  <c r="AF4" i="1"/>
  <c r="AG4" i="1"/>
  <c r="AH4" i="1"/>
  <c r="AI4" i="1"/>
  <c r="AJ4" i="1"/>
  <c r="AA5" i="1"/>
  <c r="E4" i="1"/>
  <c r="H4" i="1"/>
  <c r="I4" i="1"/>
  <c r="K4" i="1"/>
  <c r="C5" i="1"/>
  <c r="C26" i="13"/>
  <c r="O5" i="1"/>
  <c r="C18" i="13"/>
  <c r="C8" i="13"/>
  <c r="J13" i="19"/>
  <c r="J4" i="1" s="1"/>
  <c r="D13" i="19"/>
  <c r="D4" i="1" s="1"/>
  <c r="L13" i="19"/>
  <c r="L4" i="1" s="1"/>
  <c r="F13" i="19"/>
  <c r="F4" i="1" s="1"/>
  <c r="G13" i="19"/>
  <c r="G4" i="1" s="1"/>
  <c r="C25" i="19"/>
  <c r="C26" i="19" s="1"/>
  <c r="C27" i="19" s="1"/>
  <c r="K12" i="21"/>
  <c r="K9" i="21"/>
  <c r="K5" i="21"/>
  <c r="K10" i="21"/>
  <c r="K2" i="21"/>
  <c r="K6" i="21"/>
  <c r="K7" i="21"/>
  <c r="K3" i="21"/>
  <c r="K8" i="21"/>
  <c r="K4" i="21"/>
  <c r="F9" i="21"/>
  <c r="F2" i="21"/>
  <c r="F5" i="21"/>
  <c r="F6" i="21"/>
  <c r="F10" i="21"/>
  <c r="F4" i="21"/>
  <c r="F8" i="21"/>
  <c r="F3" i="21"/>
  <c r="F7" i="21"/>
  <c r="C7" i="19"/>
  <c r="C16" i="19"/>
  <c r="C7" i="16"/>
  <c r="K12" i="17"/>
  <c r="K10" i="17"/>
  <c r="K6" i="17"/>
  <c r="K2" i="17"/>
  <c r="K7" i="17"/>
  <c r="K8" i="17"/>
  <c r="K4" i="17"/>
  <c r="K9" i="17"/>
  <c r="K5" i="17"/>
  <c r="K3" i="17"/>
  <c r="F10" i="17"/>
  <c r="F9" i="17"/>
  <c r="F5" i="17"/>
  <c r="F8" i="17"/>
  <c r="C16" i="16"/>
  <c r="C17" i="16" s="1"/>
  <c r="C25" i="16"/>
  <c r="C26" i="16" s="1"/>
  <c r="K25" i="13"/>
  <c r="J6" i="13"/>
  <c r="K16" i="13"/>
  <c r="D25" i="13"/>
  <c r="L25" i="13"/>
  <c r="D16" i="13"/>
  <c r="AB6" i="1" s="1"/>
  <c r="E25" i="13"/>
  <c r="Q6" i="1" s="1"/>
  <c r="F6" i="1"/>
  <c r="H25" i="14"/>
  <c r="T6" i="1" s="1"/>
  <c r="E6" i="14"/>
  <c r="E6" i="1" s="1"/>
  <c r="G6" i="14"/>
  <c r="G6" i="1" s="1"/>
  <c r="I25" i="14"/>
  <c r="U6" i="1" s="1"/>
  <c r="I6" i="14"/>
  <c r="I6" i="1" s="1"/>
  <c r="K25" i="14"/>
  <c r="J6" i="14"/>
  <c r="K16" i="14"/>
  <c r="D25" i="14"/>
  <c r="L25" i="14"/>
  <c r="K6" i="14"/>
  <c r="K6" i="1" s="1"/>
  <c r="D6" i="14"/>
  <c r="D6" i="1" s="1"/>
  <c r="J30" i="15"/>
  <c r="I10" i="15" a="1"/>
  <c r="I10" i="15" s="1"/>
  <c r="I8" i="15" a="1"/>
  <c r="I8" i="15" s="1"/>
  <c r="I6" i="15" a="1"/>
  <c r="I6" i="15" s="1"/>
  <c r="I4" i="15" a="1"/>
  <c r="I4" i="15" s="1"/>
  <c r="L10" i="15" a="1"/>
  <c r="L10" i="15" s="1"/>
  <c r="L8" i="15" a="1"/>
  <c r="L8" i="15" s="1"/>
  <c r="L6" i="15" a="1"/>
  <c r="L6" i="15" s="1"/>
  <c r="L4" i="15" a="1"/>
  <c r="L4" i="15" s="1"/>
  <c r="I9" i="15" a="1"/>
  <c r="I9" i="15" s="1"/>
  <c r="I3" i="15" a="1"/>
  <c r="I3" i="15" s="1"/>
  <c r="I11" i="15" a="1"/>
  <c r="I11" i="15" s="1"/>
  <c r="L9" i="15" a="1"/>
  <c r="L9" i="15" s="1"/>
  <c r="L7" i="15" a="1"/>
  <c r="L7" i="15" s="1"/>
  <c r="L3" i="15" a="1"/>
  <c r="L3" i="15" s="1"/>
  <c r="I7" i="15" a="1"/>
  <c r="I7" i="15" s="1"/>
  <c r="I5" i="15" a="1"/>
  <c r="I5" i="15" s="1"/>
  <c r="L11" i="15" a="1"/>
  <c r="L11" i="15" s="1"/>
  <c r="C9" i="14"/>
  <c r="B16" i="11" s="1"/>
  <c r="C28" i="14"/>
  <c r="B15" i="11" s="1"/>
  <c r="C19" i="14"/>
  <c r="B17" i="11" s="1"/>
  <c r="C9" i="13"/>
  <c r="B10" i="11" s="1"/>
  <c r="C19" i="13"/>
  <c r="B11" i="11" s="1"/>
  <c r="C17" i="19" l="1"/>
  <c r="C7" i="1"/>
  <c r="C8" i="19"/>
  <c r="AA7" i="1"/>
  <c r="D21" i="19"/>
  <c r="D23" i="19" s="1"/>
  <c r="B27" i="11"/>
  <c r="C8" i="1"/>
  <c r="AA8" i="1"/>
  <c r="X6" i="1"/>
  <c r="P6" i="1"/>
  <c r="W6" i="1"/>
  <c r="AI6" i="1"/>
  <c r="J6" i="1"/>
  <c r="D22" i="14"/>
  <c r="D24" i="14" s="1"/>
  <c r="D13" i="14"/>
  <c r="D15" i="14" s="1"/>
  <c r="D3" i="14"/>
  <c r="D5" i="14" s="1"/>
  <c r="C27" i="13"/>
  <c r="O7" i="1"/>
  <c r="D13" i="13"/>
  <c r="D3" i="13"/>
  <c r="D25" i="19"/>
  <c r="D26" i="19" s="1"/>
  <c r="C18" i="19"/>
  <c r="C9" i="19"/>
  <c r="C9" i="16"/>
  <c r="D3" i="16" s="1"/>
  <c r="D5" i="16" s="1"/>
  <c r="C8" i="16"/>
  <c r="C27" i="16"/>
  <c r="D21" i="16" s="1"/>
  <c r="D23" i="16" s="1"/>
  <c r="C18" i="16"/>
  <c r="D12" i="16" s="1"/>
  <c r="D14" i="16" s="1"/>
  <c r="D17" i="14"/>
  <c r="D18" i="14" s="1"/>
  <c r="D26" i="14"/>
  <c r="D27" i="14" s="1"/>
  <c r="D7" i="14"/>
  <c r="D8" i="14" s="1"/>
  <c r="D3" i="19" l="1"/>
  <c r="D5" i="19" s="1"/>
  <c r="B29" i="11"/>
  <c r="B5" i="11" s="1"/>
  <c r="H5" i="20"/>
  <c r="AA9" i="1"/>
  <c r="D12" i="19"/>
  <c r="D14" i="19" s="1"/>
  <c r="B28" i="11"/>
  <c r="B4" i="11" s="1"/>
  <c r="H4" i="20"/>
  <c r="C9" i="1"/>
  <c r="O8" i="1"/>
  <c r="C28" i="13"/>
  <c r="B9" i="11" s="1"/>
  <c r="D15" i="13"/>
  <c r="AB3" i="1"/>
  <c r="D5" i="13"/>
  <c r="D3" i="1"/>
  <c r="D7" i="19"/>
  <c r="D8" i="19" s="1"/>
  <c r="D16" i="19"/>
  <c r="D17" i="19" s="1"/>
  <c r="D27" i="19"/>
  <c r="D7" i="16"/>
  <c r="D8" i="16" s="1"/>
  <c r="D16" i="16"/>
  <c r="D17" i="16" s="1"/>
  <c r="D25" i="16"/>
  <c r="D26" i="16" s="1"/>
  <c r="D28" i="14"/>
  <c r="E22" i="14" s="1"/>
  <c r="E24" i="14" s="1"/>
  <c r="D19" i="14"/>
  <c r="E13" i="14" s="1"/>
  <c r="E15" i="14" s="1"/>
  <c r="D9" i="14"/>
  <c r="E3" i="14" s="1"/>
  <c r="E5" i="14" s="1"/>
  <c r="E21" i="19" l="1"/>
  <c r="E23" i="19" s="1"/>
  <c r="H3" i="20"/>
  <c r="D22" i="13"/>
  <c r="B3" i="11"/>
  <c r="O9" i="1"/>
  <c r="AB5" i="1"/>
  <c r="D17" i="13"/>
  <c r="D5" i="1"/>
  <c r="D7" i="13"/>
  <c r="D9" i="19"/>
  <c r="E3" i="19" s="1"/>
  <c r="E5" i="19" s="1"/>
  <c r="E25" i="19"/>
  <c r="E26" i="19" s="1"/>
  <c r="D18" i="19"/>
  <c r="E12" i="19" s="1"/>
  <c r="E14" i="19" s="1"/>
  <c r="D9" i="16"/>
  <c r="E3" i="16" s="1"/>
  <c r="E5" i="16" s="1"/>
  <c r="D27" i="16"/>
  <c r="E21" i="16" s="1"/>
  <c r="E23" i="16" s="1"/>
  <c r="D18" i="16"/>
  <c r="E12" i="16" s="1"/>
  <c r="E14" i="16" s="1"/>
  <c r="E7" i="14"/>
  <c r="E8" i="14" s="1"/>
  <c r="E17" i="14"/>
  <c r="E18" i="14" s="1"/>
  <c r="E26" i="14"/>
  <c r="E27" i="14" s="1"/>
  <c r="D24" i="13" l="1"/>
  <c r="P5" i="1" s="1"/>
  <c r="P3" i="1"/>
  <c r="D26" i="13"/>
  <c r="D18" i="13"/>
  <c r="AB8" i="1" s="1"/>
  <c r="AB7" i="1"/>
  <c r="D19" i="13"/>
  <c r="D8" i="13"/>
  <c r="D8" i="1" s="1"/>
  <c r="D7" i="1"/>
  <c r="E7" i="19"/>
  <c r="E8" i="19" s="1"/>
  <c r="E16" i="19"/>
  <c r="E17" i="19" s="1"/>
  <c r="E27" i="19"/>
  <c r="E7" i="16"/>
  <c r="E8" i="16" s="1"/>
  <c r="E25" i="16"/>
  <c r="E26" i="16" s="1"/>
  <c r="E16" i="16"/>
  <c r="E17" i="16" s="1"/>
  <c r="E9" i="16"/>
  <c r="F3" i="16" s="1"/>
  <c r="F5" i="16" s="1"/>
  <c r="E28" i="14"/>
  <c r="C15" i="11" s="1"/>
  <c r="E19" i="14"/>
  <c r="C17" i="11" s="1"/>
  <c r="E9" i="14"/>
  <c r="C16" i="11" s="1"/>
  <c r="F21" i="19" l="1"/>
  <c r="F23" i="19" s="1"/>
  <c r="C27" i="11"/>
  <c r="D9" i="13"/>
  <c r="E3" i="13" s="1"/>
  <c r="F22" i="14"/>
  <c r="F24" i="14" s="1"/>
  <c r="F13" i="14"/>
  <c r="F15" i="14" s="1"/>
  <c r="F3" i="14"/>
  <c r="F5" i="14" s="1"/>
  <c r="F7" i="14" s="1"/>
  <c r="F8" i="14" s="1"/>
  <c r="D27" i="13"/>
  <c r="P8" i="1" s="1"/>
  <c r="P7" i="1"/>
  <c r="E13" i="13"/>
  <c r="AB9" i="1"/>
  <c r="D9" i="1"/>
  <c r="F25" i="19"/>
  <c r="F26" i="19" s="1"/>
  <c r="E18" i="19"/>
  <c r="E9" i="19"/>
  <c r="F7" i="16"/>
  <c r="F8" i="16" s="1"/>
  <c r="E18" i="16"/>
  <c r="E27" i="16"/>
  <c r="F21" i="16" s="1"/>
  <c r="F23" i="16" s="1"/>
  <c r="F17" i="14"/>
  <c r="F18" i="14" s="1"/>
  <c r="F26" i="14"/>
  <c r="F27" i="14" s="1"/>
  <c r="F3" i="19" l="1"/>
  <c r="F5" i="19" s="1"/>
  <c r="C29" i="11"/>
  <c r="F12" i="19"/>
  <c r="F14" i="19" s="1"/>
  <c r="C28" i="11"/>
  <c r="F12" i="16"/>
  <c r="F14" i="16" s="1"/>
  <c r="F16" i="16" s="1"/>
  <c r="F17" i="16" s="1"/>
  <c r="C22" i="11"/>
  <c r="D28" i="13"/>
  <c r="E22" i="13" s="1"/>
  <c r="P9" i="1"/>
  <c r="E15" i="13"/>
  <c r="AC5" i="1" s="1"/>
  <c r="AC3" i="1"/>
  <c r="E5" i="13"/>
  <c r="E5" i="1" s="1"/>
  <c r="E3" i="1"/>
  <c r="F7" i="19"/>
  <c r="F8" i="19" s="1"/>
  <c r="F16" i="19"/>
  <c r="F17" i="19" s="1"/>
  <c r="F27" i="19"/>
  <c r="D27" i="11" s="1"/>
  <c r="D3" i="11" s="1"/>
  <c r="O3" i="11" s="1"/>
  <c r="F25" i="16"/>
  <c r="F26" i="16" s="1"/>
  <c r="F9" i="16"/>
  <c r="F28" i="14"/>
  <c r="G22" i="14" s="1"/>
  <c r="G24" i="14" s="1"/>
  <c r="F19" i="14"/>
  <c r="G13" i="14" s="1"/>
  <c r="G15" i="14" s="1"/>
  <c r="F9" i="14"/>
  <c r="G3" i="14" s="1"/>
  <c r="G5" i="14" s="1"/>
  <c r="G21" i="19" l="1"/>
  <c r="G23" i="19" s="1"/>
  <c r="E3" i="20"/>
  <c r="G3" i="16"/>
  <c r="G5" i="16" s="1"/>
  <c r="E5" i="18"/>
  <c r="E17" i="13"/>
  <c r="E7" i="13"/>
  <c r="E24" i="13"/>
  <c r="Q5" i="1" s="1"/>
  <c r="Q3" i="1"/>
  <c r="E18" i="13"/>
  <c r="AC8" i="1" s="1"/>
  <c r="AC7" i="1"/>
  <c r="E8" i="13"/>
  <c r="E8" i="1" s="1"/>
  <c r="E7" i="1"/>
  <c r="F18" i="19"/>
  <c r="D28" i="11" s="1"/>
  <c r="D4" i="11" s="1"/>
  <c r="O4" i="11" s="1"/>
  <c r="F9" i="19"/>
  <c r="D29" i="11" s="1"/>
  <c r="D5" i="11" s="1"/>
  <c r="O5" i="11" s="1"/>
  <c r="F27" i="16"/>
  <c r="F18" i="16"/>
  <c r="G7" i="16"/>
  <c r="G8" i="16" s="1"/>
  <c r="G7" i="14"/>
  <c r="G8" i="14" s="1"/>
  <c r="G17" i="14"/>
  <c r="G18" i="14" s="1"/>
  <c r="G26" i="14"/>
  <c r="G27" i="14" s="1"/>
  <c r="G25" i="19" l="1"/>
  <c r="G26" i="19" s="1"/>
  <c r="G12" i="19"/>
  <c r="G14" i="19" s="1"/>
  <c r="E4" i="20"/>
  <c r="G3" i="19"/>
  <c r="G5" i="19" s="1"/>
  <c r="G7" i="19" s="1"/>
  <c r="G8" i="19" s="1"/>
  <c r="E5" i="20"/>
  <c r="G21" i="16"/>
  <c r="G23" i="16" s="1"/>
  <c r="E3" i="18"/>
  <c r="G12" i="16"/>
  <c r="G14" i="16" s="1"/>
  <c r="G16" i="16" s="1"/>
  <c r="G17" i="16" s="1"/>
  <c r="E4" i="18"/>
  <c r="E26" i="13"/>
  <c r="E9" i="13"/>
  <c r="C10" i="11" s="1"/>
  <c r="E19" i="13"/>
  <c r="C11" i="11" s="1"/>
  <c r="C5" i="11" s="1"/>
  <c r="E27" i="13"/>
  <c r="Q8" i="1" s="1"/>
  <c r="Q7" i="1"/>
  <c r="E28" i="13"/>
  <c r="C9" i="11" s="1"/>
  <c r="F13" i="13"/>
  <c r="F3" i="13"/>
  <c r="C4" i="11"/>
  <c r="E9" i="1"/>
  <c r="G16" i="19"/>
  <c r="G17" i="19" s="1"/>
  <c r="G9" i="16"/>
  <c r="H3" i="16" s="1"/>
  <c r="H5" i="16" s="1"/>
  <c r="G25" i="16"/>
  <c r="G26" i="16" s="1"/>
  <c r="G28" i="14"/>
  <c r="H22" i="14" s="1"/>
  <c r="H24" i="14" s="1"/>
  <c r="G19" i="14"/>
  <c r="H13" i="14" s="1"/>
  <c r="H15" i="14" s="1"/>
  <c r="G9" i="14"/>
  <c r="H3" i="14" s="1"/>
  <c r="H5" i="14" s="1"/>
  <c r="G27" i="19" l="1"/>
  <c r="H21" i="19" s="1"/>
  <c r="H23" i="19" s="1"/>
  <c r="AC9" i="1"/>
  <c r="F22" i="13"/>
  <c r="C3" i="11"/>
  <c r="Q9" i="1"/>
  <c r="F15" i="13"/>
  <c r="AD5" i="1" s="1"/>
  <c r="AD3" i="1"/>
  <c r="F5" i="13"/>
  <c r="F5" i="1" s="1"/>
  <c r="F3" i="1"/>
  <c r="H25" i="19"/>
  <c r="H26" i="19" s="1"/>
  <c r="G9" i="19"/>
  <c r="H3" i="19" s="1"/>
  <c r="H5" i="19" s="1"/>
  <c r="G18" i="19"/>
  <c r="H12" i="19" s="1"/>
  <c r="H14" i="19" s="1"/>
  <c r="H7" i="16"/>
  <c r="H8" i="16" s="1"/>
  <c r="G27" i="16"/>
  <c r="H21" i="16" s="1"/>
  <c r="H23" i="16" s="1"/>
  <c r="G18" i="16"/>
  <c r="H12" i="16" s="1"/>
  <c r="H14" i="16" s="1"/>
  <c r="H7" i="14"/>
  <c r="H8" i="14" s="1"/>
  <c r="H17" i="14"/>
  <c r="H18" i="14" s="1"/>
  <c r="H26" i="14"/>
  <c r="H27" i="14" s="1"/>
  <c r="F17" i="13" l="1"/>
  <c r="F7" i="13"/>
  <c r="F8" i="13" s="1"/>
  <c r="F8" i="1" s="1"/>
  <c r="F24" i="13"/>
  <c r="R5" i="1" s="1"/>
  <c r="R3" i="1"/>
  <c r="F18" i="13"/>
  <c r="AD8" i="1" s="1"/>
  <c r="AD7" i="1"/>
  <c r="H16" i="19"/>
  <c r="H17" i="19" s="1"/>
  <c r="H7" i="19"/>
  <c r="H8" i="19" s="1"/>
  <c r="H27" i="19"/>
  <c r="I21" i="19" s="1"/>
  <c r="I23" i="19" s="1"/>
  <c r="H16" i="16"/>
  <c r="H17" i="16" s="1"/>
  <c r="H25" i="16"/>
  <c r="H26" i="16" s="1"/>
  <c r="H9" i="16"/>
  <c r="I3" i="16" s="1"/>
  <c r="I5" i="16" s="1"/>
  <c r="H28" i="14"/>
  <c r="I22" i="14" s="1"/>
  <c r="I24" i="14" s="1"/>
  <c r="H19" i="14"/>
  <c r="I13" i="14" s="1"/>
  <c r="I15" i="14" s="1"/>
  <c r="H9" i="14"/>
  <c r="I3" i="14" s="1"/>
  <c r="I5" i="14" s="1"/>
  <c r="F7" i="1" l="1"/>
  <c r="F26" i="13"/>
  <c r="F19" i="13"/>
  <c r="G13" i="13" s="1"/>
  <c r="F9" i="13"/>
  <c r="F9" i="1" s="1"/>
  <c r="F27" i="13"/>
  <c r="R8" i="1" s="1"/>
  <c r="R7" i="1"/>
  <c r="I25" i="19"/>
  <c r="I26" i="19" s="1"/>
  <c r="H9" i="19"/>
  <c r="I3" i="19" s="1"/>
  <c r="I5" i="19" s="1"/>
  <c r="H18" i="19"/>
  <c r="I12" i="19" s="1"/>
  <c r="I14" i="19" s="1"/>
  <c r="I7" i="16"/>
  <c r="I8" i="16" s="1"/>
  <c r="H27" i="16"/>
  <c r="I21" i="16" s="1"/>
  <c r="I23" i="16" s="1"/>
  <c r="H18" i="16"/>
  <c r="I12" i="16" s="1"/>
  <c r="I14" i="16" s="1"/>
  <c r="I17" i="14"/>
  <c r="I18" i="14" s="1"/>
  <c r="I7" i="14"/>
  <c r="I8" i="14" s="1"/>
  <c r="I26" i="14"/>
  <c r="I27" i="14" s="1"/>
  <c r="F28" i="13" l="1"/>
  <c r="AD9" i="1"/>
  <c r="G3" i="13"/>
  <c r="G22" i="13"/>
  <c r="R9" i="1"/>
  <c r="G15" i="13"/>
  <c r="AE5" i="1" s="1"/>
  <c r="AE3" i="1"/>
  <c r="G5" i="13"/>
  <c r="G5" i="1" s="1"/>
  <c r="G3" i="1"/>
  <c r="I16" i="19"/>
  <c r="I17" i="19" s="1"/>
  <c r="I27" i="19"/>
  <c r="J21" i="19" s="1"/>
  <c r="J23" i="19" s="1"/>
  <c r="I7" i="19"/>
  <c r="I8" i="19" s="1"/>
  <c r="I16" i="16"/>
  <c r="I17" i="16" s="1"/>
  <c r="I25" i="16"/>
  <c r="I26" i="16" s="1"/>
  <c r="I9" i="16"/>
  <c r="J3" i="16" s="1"/>
  <c r="J5" i="16" s="1"/>
  <c r="I28" i="14"/>
  <c r="J22" i="14" s="1"/>
  <c r="J24" i="14" s="1"/>
  <c r="I9" i="14"/>
  <c r="J3" i="14" s="1"/>
  <c r="J5" i="14" s="1"/>
  <c r="I19" i="14"/>
  <c r="J13" i="14" s="1"/>
  <c r="J15" i="14" s="1"/>
  <c r="G17" i="13" l="1"/>
  <c r="G7" i="13"/>
  <c r="G7" i="1" s="1"/>
  <c r="G24" i="13"/>
  <c r="S5" i="1" s="1"/>
  <c r="S3" i="1"/>
  <c r="G18" i="13"/>
  <c r="AE8" i="1" s="1"/>
  <c r="AE7" i="1"/>
  <c r="I9" i="19"/>
  <c r="J3" i="19" s="1"/>
  <c r="J5" i="19" s="1"/>
  <c r="J25" i="19"/>
  <c r="J26" i="19" s="1"/>
  <c r="I18" i="19"/>
  <c r="J12" i="19" s="1"/>
  <c r="J14" i="19" s="1"/>
  <c r="I18" i="16"/>
  <c r="J12" i="16" s="1"/>
  <c r="J14" i="16" s="1"/>
  <c r="J7" i="16"/>
  <c r="J8" i="16" s="1"/>
  <c r="I27" i="16"/>
  <c r="J21" i="16" s="1"/>
  <c r="J23" i="16" s="1"/>
  <c r="J7" i="14"/>
  <c r="J8" i="14" s="1"/>
  <c r="J26" i="14"/>
  <c r="J27" i="14" s="1"/>
  <c r="J17" i="14"/>
  <c r="J18" i="14" s="1"/>
  <c r="G8" i="13" l="1"/>
  <c r="G8" i="1" s="1"/>
  <c r="G19" i="13"/>
  <c r="G26" i="13"/>
  <c r="G27" i="13"/>
  <c r="S8" i="1" s="1"/>
  <c r="S7" i="1"/>
  <c r="H13" i="13"/>
  <c r="AE9" i="1"/>
  <c r="J16" i="19"/>
  <c r="J17" i="19" s="1"/>
  <c r="J27" i="19"/>
  <c r="K21" i="19" s="1"/>
  <c r="K23" i="19" s="1"/>
  <c r="J7" i="19"/>
  <c r="J8" i="19" s="1"/>
  <c r="J25" i="16"/>
  <c r="J26" i="16" s="1"/>
  <c r="J9" i="16"/>
  <c r="K3" i="16" s="1"/>
  <c r="K5" i="16" s="1"/>
  <c r="J16" i="16"/>
  <c r="J17" i="16" s="1"/>
  <c r="J19" i="14"/>
  <c r="K13" i="14" s="1"/>
  <c r="K15" i="14" s="1"/>
  <c r="J28" i="14"/>
  <c r="K22" i="14" s="1"/>
  <c r="K24" i="14" s="1"/>
  <c r="J9" i="14"/>
  <c r="K3" i="14" s="1"/>
  <c r="K5" i="14" s="1"/>
  <c r="G9" i="13" l="1"/>
  <c r="G28" i="13"/>
  <c r="H22" i="13"/>
  <c r="S9" i="1"/>
  <c r="H15" i="13"/>
  <c r="AF5" i="1" s="1"/>
  <c r="AF3" i="1"/>
  <c r="H17" i="13"/>
  <c r="K25" i="19"/>
  <c r="K26" i="19" s="1"/>
  <c r="J18" i="19"/>
  <c r="K12" i="19" s="1"/>
  <c r="K14" i="19" s="1"/>
  <c r="J9" i="19"/>
  <c r="K3" i="19" s="1"/>
  <c r="K5" i="19" s="1"/>
  <c r="K7" i="16"/>
  <c r="K8" i="16" s="1"/>
  <c r="J18" i="16"/>
  <c r="K12" i="16" s="1"/>
  <c r="K14" i="16" s="1"/>
  <c r="J27" i="16"/>
  <c r="K21" i="16" s="1"/>
  <c r="K23" i="16" s="1"/>
  <c r="K7" i="14"/>
  <c r="K8" i="14" s="1"/>
  <c r="K26" i="14"/>
  <c r="K27" i="14" s="1"/>
  <c r="K17" i="14"/>
  <c r="K18" i="14" s="1"/>
  <c r="G9" i="1" l="1"/>
  <c r="H3" i="13"/>
  <c r="H24" i="13"/>
  <c r="T5" i="1" s="1"/>
  <c r="T3" i="1"/>
  <c r="H26" i="13"/>
  <c r="H18" i="13"/>
  <c r="AF8" i="1" s="1"/>
  <c r="AF7" i="1"/>
  <c r="H19" i="13"/>
  <c r="K16" i="19"/>
  <c r="K17" i="19" s="1"/>
  <c r="K27" i="19"/>
  <c r="L21" i="19" s="1"/>
  <c r="L23" i="19" s="1"/>
  <c r="K7" i="19"/>
  <c r="K8" i="19" s="1"/>
  <c r="K25" i="16"/>
  <c r="K26" i="16" s="1"/>
  <c r="K9" i="16"/>
  <c r="L3" i="16" s="1"/>
  <c r="L5" i="16" s="1"/>
  <c r="K16" i="16"/>
  <c r="K17" i="16" s="1"/>
  <c r="K19" i="14"/>
  <c r="L13" i="14" s="1"/>
  <c r="L15" i="14" s="1"/>
  <c r="K28" i="14"/>
  <c r="L22" i="14" s="1"/>
  <c r="L24" i="14" s="1"/>
  <c r="K9" i="14"/>
  <c r="L3" i="14" s="1"/>
  <c r="L5" i="14" s="1"/>
  <c r="H5" i="13" l="1"/>
  <c r="H3" i="1"/>
  <c r="H27" i="13"/>
  <c r="T8" i="1" s="1"/>
  <c r="T7" i="1"/>
  <c r="I13" i="13"/>
  <c r="AF9" i="1"/>
  <c r="L25" i="19"/>
  <c r="L26" i="19" s="1"/>
  <c r="K18" i="19"/>
  <c r="L12" i="19" s="1"/>
  <c r="L14" i="19" s="1"/>
  <c r="K9" i="19"/>
  <c r="L3" i="19" s="1"/>
  <c r="L5" i="19" s="1"/>
  <c r="L7" i="16"/>
  <c r="L8" i="16" s="1"/>
  <c r="K18" i="16"/>
  <c r="L12" i="16" s="1"/>
  <c r="L14" i="16" s="1"/>
  <c r="K27" i="16"/>
  <c r="L21" i="16" s="1"/>
  <c r="L23" i="16" s="1"/>
  <c r="L7" i="14"/>
  <c r="L8" i="14" s="1"/>
  <c r="L26" i="14"/>
  <c r="L27" i="14" s="1"/>
  <c r="L17" i="14"/>
  <c r="L18" i="14" s="1"/>
  <c r="H5" i="1" l="1"/>
  <c r="H7" i="13"/>
  <c r="H28" i="13"/>
  <c r="I22" i="13"/>
  <c r="T9" i="1"/>
  <c r="I15" i="13"/>
  <c r="AG5" i="1" s="1"/>
  <c r="AG3" i="1"/>
  <c r="L7" i="19"/>
  <c r="L8" i="19" s="1"/>
  <c r="L16" i="19"/>
  <c r="L17" i="19" s="1"/>
  <c r="L27" i="19"/>
  <c r="L25" i="16"/>
  <c r="L26" i="16" s="1"/>
  <c r="L16" i="16"/>
  <c r="L17" i="16" s="1"/>
  <c r="L9" i="16"/>
  <c r="L19" i="14"/>
  <c r="E17" i="11" s="1"/>
  <c r="L9" i="14"/>
  <c r="E16" i="11" s="1"/>
  <c r="L28" i="14"/>
  <c r="E15" i="11" s="1"/>
  <c r="M21" i="19" l="1"/>
  <c r="B3" i="20" s="1"/>
  <c r="E27" i="11"/>
  <c r="M3" i="16"/>
  <c r="B5" i="18" s="1"/>
  <c r="E23" i="11"/>
  <c r="I17" i="13"/>
  <c r="H8" i="13"/>
  <c r="H8" i="1" s="1"/>
  <c r="H7" i="1"/>
  <c r="I24" i="13"/>
  <c r="U5" i="1" s="1"/>
  <c r="U3" i="1"/>
  <c r="I18" i="13"/>
  <c r="AG8" i="1" s="1"/>
  <c r="AG7" i="1"/>
  <c r="L18" i="19"/>
  <c r="L9" i="19"/>
  <c r="L18" i="16"/>
  <c r="L27" i="16"/>
  <c r="M12" i="19" l="1"/>
  <c r="B4" i="20" s="1"/>
  <c r="E28" i="11"/>
  <c r="M3" i="19"/>
  <c r="B5" i="20" s="1"/>
  <c r="E29" i="11"/>
  <c r="M21" i="16"/>
  <c r="B3" i="18" s="1"/>
  <c r="E21" i="11"/>
  <c r="M12" i="16"/>
  <c r="B4" i="18" s="1"/>
  <c r="E22" i="11"/>
  <c r="I19" i="13"/>
  <c r="H9" i="13"/>
  <c r="I26" i="13"/>
  <c r="I27" i="13"/>
  <c r="U8" i="1" s="1"/>
  <c r="U7" i="1"/>
  <c r="J13" i="13"/>
  <c r="AG9" i="1"/>
  <c r="I3" i="13" l="1"/>
  <c r="H9" i="1"/>
  <c r="I28" i="13"/>
  <c r="J22" i="13"/>
  <c r="U9" i="1"/>
  <c r="J15" i="13"/>
  <c r="AH5" i="1" s="1"/>
  <c r="AH3" i="1"/>
  <c r="I3" i="1" l="1"/>
  <c r="I5" i="13"/>
  <c r="I5" i="1" s="1"/>
  <c r="J17" i="13"/>
  <c r="J24" i="13"/>
  <c r="V5" i="1" s="1"/>
  <c r="V3" i="1"/>
  <c r="J18" i="13"/>
  <c r="AH8" i="1" s="1"/>
  <c r="AH7" i="1"/>
  <c r="I7" i="13" l="1"/>
  <c r="J26" i="13"/>
  <c r="J19" i="13"/>
  <c r="K13" i="13" s="1"/>
  <c r="J27" i="13"/>
  <c r="V8" i="1" s="1"/>
  <c r="V7" i="1"/>
  <c r="J28" i="13" l="1"/>
  <c r="I8" i="13"/>
  <c r="I8" i="1" s="1"/>
  <c r="I7" i="1"/>
  <c r="I9" i="13"/>
  <c r="AH9" i="1"/>
  <c r="K22" i="13"/>
  <c r="V9" i="1"/>
  <c r="K15" i="13"/>
  <c r="AI5" i="1" s="1"/>
  <c r="AI3" i="1"/>
  <c r="I9" i="1" l="1"/>
  <c r="J3" i="13"/>
  <c r="K17" i="13"/>
  <c r="K24" i="13"/>
  <c r="W5" i="1" s="1"/>
  <c r="W3" i="1"/>
  <c r="K18" i="13"/>
  <c r="AI8" i="1" s="1"/>
  <c r="AI7" i="1"/>
  <c r="K26" i="13" l="1"/>
  <c r="J3" i="1"/>
  <c r="J5" i="13"/>
  <c r="J5" i="1" s="1"/>
  <c r="K19" i="13"/>
  <c r="K27" i="13"/>
  <c r="W8" i="1" s="1"/>
  <c r="W7" i="1"/>
  <c r="K28" i="13"/>
  <c r="L13" i="13"/>
  <c r="AI9" i="1"/>
  <c r="J7" i="13" l="1"/>
  <c r="L22" i="13"/>
  <c r="W9" i="1"/>
  <c r="L15" i="13"/>
  <c r="AJ5" i="1" s="1"/>
  <c r="AJ3" i="1"/>
  <c r="J7" i="1" l="1"/>
  <c r="J8" i="13"/>
  <c r="J8" i="1" s="1"/>
  <c r="L17" i="13"/>
  <c r="L24" i="13"/>
  <c r="X5" i="1" s="1"/>
  <c r="X3" i="1"/>
  <c r="L18" i="13"/>
  <c r="AJ8" i="1" s="1"/>
  <c r="AJ7" i="1"/>
  <c r="J9" i="13" l="1"/>
  <c r="L19" i="13"/>
  <c r="E11" i="11" s="1"/>
  <c r="L26" i="13"/>
  <c r="L27" i="13"/>
  <c r="X8" i="1" s="1"/>
  <c r="X7" i="1"/>
  <c r="E5" i="11"/>
  <c r="P5" i="11" s="1"/>
  <c r="AJ9" i="1"/>
  <c r="K3" i="13" l="1"/>
  <c r="J9" i="1"/>
  <c r="L28" i="13"/>
  <c r="E9" i="11" s="1"/>
  <c r="E3" i="11"/>
  <c r="P3" i="11" s="1"/>
  <c r="X9" i="1"/>
  <c r="K5" i="13" l="1"/>
  <c r="K5" i="1" s="1"/>
  <c r="K3" i="1"/>
  <c r="K7" i="13"/>
  <c r="K8" i="13" l="1"/>
  <c r="K8" i="1" s="1"/>
  <c r="K7" i="1"/>
  <c r="K9" i="13" l="1"/>
  <c r="K9" i="1"/>
  <c r="L3" i="13"/>
  <c r="L3" i="1" l="1"/>
  <c r="L5" i="13"/>
  <c r="L5" i="1" s="1"/>
  <c r="L7" i="13" l="1"/>
  <c r="L8" i="13" l="1"/>
  <c r="L8" i="1" s="1"/>
  <c r="L7" i="1"/>
  <c r="L9" i="13"/>
  <c r="E10" i="11" l="1"/>
  <c r="E4" i="11" s="1"/>
  <c r="P4" i="11" s="1"/>
  <c r="L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<sst xmlns="http://schemas.openxmlformats.org/spreadsheetml/2006/main" count="309" uniqueCount="80">
  <si>
    <t>Total - Stressed</t>
  </si>
  <si>
    <t>Total - Unstressed</t>
  </si>
  <si>
    <t>Differences</t>
  </si>
  <si>
    <t>1 Year</t>
  </si>
  <si>
    <t>3 Years</t>
  </si>
  <si>
    <t>4 Years</t>
  </si>
  <si>
    <t>10 Years</t>
  </si>
  <si>
    <t>Profit - Higher Costs </t>
  </si>
  <si>
    <t>Profit - Average Costs </t>
  </si>
  <si>
    <t>Profit – Lower Costs </t>
  </si>
  <si>
    <t>Business Interruption</t>
  </si>
  <si>
    <t>Higher Costs</t>
  </si>
  <si>
    <t>Average Costs</t>
  </si>
  <si>
    <t>Lower Costs</t>
  </si>
  <si>
    <t>Equipment Failure</t>
  </si>
  <si>
    <t>Worker's Compensation</t>
  </si>
  <si>
    <t>Cargo Loss</t>
  </si>
  <si>
    <t>Year</t>
  </si>
  <si>
    <t>Yield curve</t>
  </si>
  <si>
    <t>Expected Costs</t>
  </si>
  <si>
    <t>Upper Bound Costs / Lower Bound Profit</t>
  </si>
  <si>
    <t>Lower Bound Costs / Upper Bound Profit</t>
  </si>
  <si>
    <t>Retained Earnings</t>
  </si>
  <si>
    <t>Premium Revenue (Inflation + Exposure)</t>
  </si>
  <si>
    <t>Interest on Premium and Retained Profit</t>
  </si>
  <si>
    <t>Costs (Inflation + Exposure)</t>
  </si>
  <si>
    <t>Profit at half year</t>
  </si>
  <si>
    <t>Interest on Profit</t>
  </si>
  <si>
    <t>Final Profit</t>
  </si>
  <si>
    <t>half of current year</t>
  </si>
  <si>
    <t>Interest on Premium and Retained Profits</t>
  </si>
  <si>
    <t>half previous year + half current year</t>
  </si>
  <si>
    <t>Lower Bound</t>
  </si>
  <si>
    <t>previous years + half of current year</t>
  </si>
  <si>
    <t>Upper Bound</t>
  </si>
  <si>
    <t>Index 1</t>
  </si>
  <si>
    <t>Interest</t>
  </si>
  <si>
    <t>Inflation</t>
  </si>
  <si>
    <t>Helionis and Bayesia Growth</t>
  </si>
  <si>
    <t>Oryn Delta Growth</t>
  </si>
  <si>
    <t>Premium Growth (H and B)</t>
  </si>
  <si>
    <t>Premium Growth (O)</t>
  </si>
  <si>
    <t>Premium Growth</t>
  </si>
  <si>
    <t>Cost Growth (H and B)</t>
  </si>
  <si>
    <t>Cost Growth (O)</t>
  </si>
  <si>
    <t>Cost Growth</t>
  </si>
  <si>
    <t>Cost Growth - Stress Test</t>
  </si>
  <si>
    <t>Inflation is 5% instead of expected</t>
  </si>
  <si>
    <t>Equipment Failure Exposure:</t>
  </si>
  <si>
    <t>Equipment</t>
  </si>
  <si>
    <t>Helionis Cluster</t>
  </si>
  <si>
    <t>Bayesian System</t>
  </si>
  <si>
    <t>Oryn Delta</t>
  </si>
  <si>
    <t>Weighted Growth:</t>
  </si>
  <si>
    <t>Business Interruption Exposure:</t>
  </si>
  <si>
    <t>Helionis</t>
  </si>
  <si>
    <t>Bayesia</t>
  </si>
  <si>
    <t>Oryn</t>
  </si>
  <si>
    <t>Growth is the same for Business Interruption and Equipment Failure</t>
  </si>
  <si>
    <t>Workers Compensation</t>
  </si>
  <si>
    <t>Premium</t>
  </si>
  <si>
    <t>Inflated Costs</t>
  </si>
  <si>
    <t>Mean</t>
  </si>
  <si>
    <t>Cargo Loss (10 yrs)</t>
  </si>
  <si>
    <t>Cargo Loss (3 yrs)</t>
  </si>
  <si>
    <t>Cargo Loss (1 yrs)</t>
  </si>
  <si>
    <t>Total</t>
  </si>
  <si>
    <t>Mean Costs</t>
  </si>
  <si>
    <t>Expected Loss</t>
  </si>
  <si>
    <t>Lower</t>
  </si>
  <si>
    <t>Upper</t>
  </si>
  <si>
    <t>Inflation 2</t>
  </si>
  <si>
    <t>Index 2</t>
  </si>
  <si>
    <t>H Growth</t>
  </si>
  <si>
    <t>B Growth</t>
  </si>
  <si>
    <t>O Growth</t>
  </si>
  <si>
    <t>Growth</t>
  </si>
  <si>
    <t>Workers Compensation (10 yrs)</t>
  </si>
  <si>
    <t>Workers Compensation (3 yrs)</t>
  </si>
  <si>
    <t>Workers Compensation (1 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</si>
</sst>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Calibri (Body)"/>
    </font>
    <font>
      <b/>
      <sz val="11"/>
      <color theme="0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164" fontId="0" fillId="0" borderId="0" xfId="1" applyFont="1"/>
    <xf numFmtId="164" fontId="0" fillId="2" borderId="0" xfId="1" applyFont="1" applyFill="1"/>
    <xf numFmtId="164" fontId="0" fillId="3" borderId="0" xfId="1" applyFont="1" applyFill="1"/>
    <xf numFmtId="164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6" fillId="0" borderId="0" xfId="0" applyFont="1"/>
    <xf numFmtId="165" fontId="0" fillId="2" borderId="0" xfId="1" applyNumberFormat="1" applyFont="1" applyFill="1"/>
    <xf numFmtId="165" fontId="0" fillId="0" borderId="0" xfId="1" applyNumberFormat="1" applyFont="1"/>
    <xf numFmtId="3" fontId="0" fillId="0" borderId="0" xfId="0" applyNumberFormat="1"/>
    <xf numFmtId="164" fontId="2" fillId="0" borderId="0" xfId="1" applyFont="1"/>
    <xf numFmtId="0" fontId="7" fillId="4" borderId="0" xfId="0" applyFont="1" applyFill="1" applyAlignment="1">
      <alignment wrapText="1"/>
    </xf>
    <xf numFmtId="0" fontId="7" fillId="4" borderId="0" xfId="0" applyFont="1" applyFill="1" applyAlignment="1">
      <alignment horizontal="right" wrapText="1"/>
    </xf>
    <xf numFmtId="3" fontId="8" fillId="0" borderId="0" xfId="0" applyNumberFormat="1" applyFont="1"/>
    <xf numFmtId="0" fontId="0" fillId="0" borderId="1" xfId="0" applyBorder="1"/>
    <xf numFmtId="0" fontId="9" fillId="0" borderId="1" xfId="0" applyFont="1" applyBorder="1"/>
    <xf numFmtId="165" fontId="0" fillId="0" borderId="1" xfId="0" applyNumberFormat="1" applyBorder="1"/>
  </cellXfs>
  <cellStyles count="5">
    <cellStyle name="Comma" xfId="1" builtinId="3"/>
    <cellStyle name="Comma 2" xfId="4" xr:uid="{C72E9585-239B-4A8D-86C9-74354A50E59F}"/>
    <cellStyle name="Normal" xfId="0" builtinId="0"/>
    <cellStyle name="Normal 2" xfId="2" xr:uid="{D0C9B130-F8E6-4EB6-8DD2-EF4499358371}"/>
    <cellStyle name="Percent 2" xfId="3" xr:uid="{D798E3E5-C327-4C93-B801-B79A4D13CC13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sw-my.sharepoint.com/personal/z5481673_ad_unsw_edu_au/Documents/ACTL4001%20Assignment/Aggregate%20Profit%20Projections.xlsx" TargetMode="External"/><Relationship Id="rId1" Type="http://schemas.openxmlformats.org/officeDocument/2006/relationships/externalLinkPath" Target="https://unsw-my.sharepoint.com/personal/z5481673_ad_unsw_edu_au/Documents/ACTL4001%20Assignment/Aggregate%20Profit%20Proje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JRmZ--Yc0WPJymqEy6rWcVNuJ4FKNBJui8NKS1HVEtXGkOOSA1GS6ATLl825XdK" itemId="01HGU7P3LA7AS4P5R5X5FIUIBIIPBZC6H7">
      <xxl21:absoluteUrl r:id="rId2"/>
    </xxl21:alternateUrls>
    <sheetNames>
      <sheetName val="Summary"/>
      <sheetName val="Aggregate Projection"/>
      <sheetName val="Business Interruption"/>
      <sheetName val="Equipment Failure"/>
      <sheetName val="Interest, etc. BI and EF"/>
      <sheetName val="Workers Compensation"/>
      <sheetName val="Cargo Loss"/>
      <sheetName val="Summary CL"/>
      <sheetName val="Interest and Inflation CL"/>
      <sheetName val="Summary WC"/>
      <sheetName val="Interest and Inflation WC"/>
    </sheetNames>
    <sheetDataSet>
      <sheetData sheetId="0">
        <row r="3">
          <cell r="B3">
            <v>-2471123162.25072</v>
          </cell>
          <cell r="C3">
            <v>-7565179374.51721</v>
          </cell>
          <cell r="D3">
            <v>-25037172387.542801</v>
          </cell>
        </row>
        <row r="4">
          <cell r="B4">
            <v>145401341.656946</v>
          </cell>
          <cell r="C4">
            <v>454411680.31177902</v>
          </cell>
          <cell r="D4">
            <v>1620159120.0565801</v>
          </cell>
        </row>
        <row r="5">
          <cell r="B5">
            <v>3210153984.2972298</v>
          </cell>
          <cell r="C5">
            <v>9847796832.0642395</v>
          </cell>
          <cell r="D5">
            <v>32843853332.5658</v>
          </cell>
        </row>
        <row r="9">
          <cell r="B9">
            <v>-8354696.7224979298</v>
          </cell>
          <cell r="C9">
            <v>-25631960.173203401</v>
          </cell>
          <cell r="D9">
            <v>-85461228.612895697</v>
          </cell>
        </row>
        <row r="10">
          <cell r="B10">
            <v>164598.275314361</v>
          </cell>
          <cell r="C10">
            <v>503957.43894988758</v>
          </cell>
          <cell r="D10">
            <v>1676300.57357651</v>
          </cell>
        </row>
        <row r="11">
          <cell r="B11">
            <v>6163769.1688898802</v>
          </cell>
          <cell r="C11">
            <v>18908512.775510199</v>
          </cell>
          <cell r="D11">
            <v>63037355.563198499</v>
          </cell>
        </row>
        <row r="15">
          <cell r="B15">
            <v>-4672508.2639878104</v>
          </cell>
          <cell r="C15">
            <v>-14351895.7789289</v>
          </cell>
          <cell r="D15">
            <v>-47916718.287851296</v>
          </cell>
        </row>
        <row r="16">
          <cell r="B16">
            <v>2327630.6379269399</v>
          </cell>
          <cell r="C16">
            <v>7123479.0802648598</v>
          </cell>
          <cell r="D16">
            <v>23682493.622476298</v>
          </cell>
        </row>
        <row r="17">
          <cell r="B17">
            <v>9154003.7935893908</v>
          </cell>
          <cell r="C17">
            <v>28065766.726369798</v>
          </cell>
          <cell r="D17">
            <v>93504385.016310707</v>
          </cell>
        </row>
        <row r="21">
          <cell r="B21">
            <v>-8418999.0246796701</v>
          </cell>
          <cell r="C21">
            <v>-25788958.7410862</v>
          </cell>
          <cell r="D21">
            <v>-85534736.151847005</v>
          </cell>
        </row>
        <row r="22">
          <cell r="B22">
            <v>70727.091137306488</v>
          </cell>
          <cell r="C22">
            <v>231722.86529208839</v>
          </cell>
          <cell r="D22">
            <v>957141.39798862021</v>
          </cell>
        </row>
        <row r="23">
          <cell r="B23">
            <v>8409789.4907229505</v>
          </cell>
          <cell r="C23">
            <v>25790626.018960901</v>
          </cell>
          <cell r="D23">
            <v>85914082.777008802</v>
          </cell>
        </row>
        <row r="27">
          <cell r="B27">
            <v>-2449676958.2395501</v>
          </cell>
          <cell r="C27">
            <v>-7499406559.8240004</v>
          </cell>
          <cell r="D27">
            <v>-24818259704.4902</v>
          </cell>
        </row>
        <row r="28">
          <cell r="B28">
            <v>142838385.65256801</v>
          </cell>
          <cell r="C28">
            <v>446552520.92727202</v>
          </cell>
          <cell r="D28">
            <v>1593843184.4625399</v>
          </cell>
        </row>
        <row r="29">
          <cell r="B29">
            <v>3186426421.8440299</v>
          </cell>
          <cell r="C29">
            <v>9775031926.5433998</v>
          </cell>
          <cell r="D29">
            <v>32601397509.209301</v>
          </cell>
        </row>
      </sheetData>
      <sheetData sheetId="1"/>
      <sheetData sheetId="2">
        <row r="9">
          <cell r="F9">
            <v>736886.60709242546</v>
          </cell>
        </row>
        <row r="19">
          <cell r="F19">
            <v>27664958.017489299</v>
          </cell>
        </row>
        <row r="28">
          <cell r="F28">
            <v>-37503094.906519502</v>
          </cell>
        </row>
      </sheetData>
      <sheetData sheetId="3">
        <row r="9">
          <cell r="F9">
            <v>10414507.795114201</v>
          </cell>
        </row>
        <row r="19">
          <cell r="F19">
            <v>41055585.882512502</v>
          </cell>
        </row>
        <row r="28">
          <cell r="F28">
            <v>-21006540.809339099</v>
          </cell>
        </row>
      </sheetData>
      <sheetData sheetId="4"/>
      <sheetData sheetId="5">
        <row r="9">
          <cell r="F9">
            <v>37729153.537741698</v>
          </cell>
        </row>
        <row r="18">
          <cell r="F18">
            <v>350497.10597322718</v>
          </cell>
        </row>
        <row r="27">
          <cell r="F27">
            <v>-37703487.9198137</v>
          </cell>
        </row>
      </sheetData>
      <sheetData sheetId="6">
        <row r="9">
          <cell r="F9">
            <v>14302315320.217699</v>
          </cell>
        </row>
        <row r="18">
          <cell r="F18">
            <v>659866556.398103</v>
          </cell>
        </row>
        <row r="27">
          <cell r="F27">
            <v>-10960713275.0044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1A97-3937-4913-B92E-DC4BFCA9FDA4}">
  <dimension ref="A1:P41"/>
  <sheetViews>
    <sheetView topLeftCell="I1" workbookViewId="0">
      <selection activeCell="K7" sqref="K7"/>
    </sheetView>
  </sheetViews>
  <sheetFormatPr defaultRowHeight="14.45"/>
  <cols>
    <col min="1" max="1" width="23" bestFit="1" customWidth="1"/>
    <col min="2" max="3" width="17.7109375" bestFit="1" customWidth="1"/>
    <col min="4" max="5" width="18.85546875" bestFit="1" customWidth="1"/>
    <col min="7" max="7" width="21.42578125" bestFit="1" customWidth="1"/>
    <col min="8" max="8" width="23" bestFit="1" customWidth="1"/>
    <col min="9" max="10" width="17.7109375" bestFit="1" customWidth="1"/>
    <col min="11" max="12" width="18.85546875" bestFit="1" customWidth="1"/>
    <col min="14" max="14" width="20.42578125" bestFit="1" customWidth="1"/>
    <col min="15" max="16" width="14.85546875" bestFit="1" customWidth="1"/>
    <col min="17" max="17" width="12" bestFit="1" customWidth="1"/>
  </cols>
  <sheetData>
    <row r="1" spans="1:16">
      <c r="A1" s="1" t="s">
        <v>0</v>
      </c>
      <c r="H1" s="1" t="s">
        <v>1</v>
      </c>
      <c r="N1" s="1" t="s">
        <v>2</v>
      </c>
    </row>
    <row r="2" spans="1:16">
      <c r="A2" s="17"/>
      <c r="B2" s="17" t="s">
        <v>3</v>
      </c>
      <c r="C2" s="17" t="s">
        <v>4</v>
      </c>
      <c r="D2" s="17" t="s">
        <v>5</v>
      </c>
      <c r="E2" s="17" t="s">
        <v>6</v>
      </c>
      <c r="H2" s="17"/>
      <c r="I2" s="17" t="s">
        <v>3</v>
      </c>
      <c r="J2" s="17" t="s">
        <v>4</v>
      </c>
      <c r="K2" s="17" t="s">
        <v>5</v>
      </c>
      <c r="L2" s="17" t="s">
        <v>6</v>
      </c>
      <c r="N2" s="17"/>
      <c r="O2" s="17" t="s">
        <v>5</v>
      </c>
      <c r="P2" s="17" t="s">
        <v>6</v>
      </c>
    </row>
    <row r="3" spans="1:16">
      <c r="A3" s="18" t="s">
        <v>7</v>
      </c>
      <c r="B3" s="19">
        <f>B9+B15+B21+B27</f>
        <v>-2471123162.2507162</v>
      </c>
      <c r="C3" s="19">
        <f t="shared" ref="C3:E3" si="0">C9+C15+C21+C27</f>
        <v>-7565179374.5172138</v>
      </c>
      <c r="D3" s="19">
        <f t="shared" ref="D3" si="1">D9+D15+D21+D27</f>
        <v>-10602731418.328236</v>
      </c>
      <c r="E3" s="19">
        <f t="shared" si="0"/>
        <v>-25448032431.326248</v>
      </c>
      <c r="H3" s="18" t="s">
        <v>7</v>
      </c>
      <c r="I3" s="19">
        <f>[1]Summary!B3</f>
        <v>-2471123162.25072</v>
      </c>
      <c r="J3" s="19">
        <f>[1]Summary!C3</f>
        <v>-7565179374.51721</v>
      </c>
      <c r="K3" s="19">
        <f t="shared" ref="K3:K5" si="2">K9+K15+K21+K27</f>
        <v>-10151571022.037582</v>
      </c>
      <c r="L3" s="19">
        <f>[1]Summary!D3</f>
        <v>-25037172387.542801</v>
      </c>
      <c r="N3" s="18" t="s">
        <v>7</v>
      </c>
      <c r="O3" s="19">
        <f>D3-K3</f>
        <v>-451160396.29065323</v>
      </c>
      <c r="P3" s="19">
        <f>E3-L3</f>
        <v>-410860043.78344727</v>
      </c>
    </row>
    <row r="4" spans="1:16">
      <c r="A4" s="18" t="s">
        <v>8</v>
      </c>
      <c r="B4" s="19">
        <f t="shared" ref="B4:E5" si="3">B10+B16+B22+B28</f>
        <v>145401341.65694639</v>
      </c>
      <c r="C4" s="19">
        <f t="shared" si="3"/>
        <v>454411680.31177914</v>
      </c>
      <c r="D4" s="19">
        <f t="shared" ref="D4" si="4">D10+D16+D22+D28</f>
        <v>206440441.32850465</v>
      </c>
      <c r="E4" s="19">
        <f t="shared" si="3"/>
        <v>1246823310.2556901</v>
      </c>
      <c r="H4" s="18" t="s">
        <v>8</v>
      </c>
      <c r="I4" s="19">
        <f>[1]Summary!B4</f>
        <v>145401341.656946</v>
      </c>
      <c r="J4" s="19">
        <f>[1]Summary!C4</f>
        <v>454411680.31177902</v>
      </c>
      <c r="K4" s="19">
        <f t="shared" si="2"/>
        <v>616395934.56225085</v>
      </c>
      <c r="L4" s="19">
        <f>[1]Summary!D4</f>
        <v>1620159120.0565801</v>
      </c>
      <c r="N4" s="18" t="s">
        <v>8</v>
      </c>
      <c r="O4" s="19">
        <f t="shared" ref="O4:P5" si="5">D4-K4</f>
        <v>-409955493.23374617</v>
      </c>
      <c r="P4" s="19">
        <f t="shared" si="5"/>
        <v>-373335809.80088997</v>
      </c>
    </row>
    <row r="5" spans="1:16">
      <c r="A5" s="18" t="s">
        <v>9</v>
      </c>
      <c r="B5" s="19">
        <f t="shared" si="3"/>
        <v>3210153984.2972298</v>
      </c>
      <c r="C5" s="19">
        <f t="shared" si="3"/>
        <v>9847796832.0642414</v>
      </c>
      <c r="D5" s="19">
        <f t="shared" ref="D5" si="6">D11+D17+D23+D29</f>
        <v>12865779380.199287</v>
      </c>
      <c r="E5" s="19">
        <f t="shared" si="3"/>
        <v>32513117118.85918</v>
      </c>
      <c r="H5" s="18" t="s">
        <v>9</v>
      </c>
      <c r="I5" s="19">
        <f>[1]Summary!B5</f>
        <v>3210153984.2972298</v>
      </c>
      <c r="J5" s="19">
        <f>[1]Summary!C5</f>
        <v>9847796832.0642395</v>
      </c>
      <c r="K5" s="19">
        <f t="shared" si="2"/>
        <v>13228956777.226107</v>
      </c>
      <c r="L5" s="19">
        <f>[1]Summary!D5</f>
        <v>32843853332.5658</v>
      </c>
      <c r="N5" s="18" t="s">
        <v>9</v>
      </c>
      <c r="O5" s="19">
        <f t="shared" si="5"/>
        <v>-363177397.02681923</v>
      </c>
      <c r="P5" s="19">
        <f t="shared" si="5"/>
        <v>-330736213.70661926</v>
      </c>
    </row>
    <row r="7" spans="1:16">
      <c r="A7" s="1" t="s">
        <v>10</v>
      </c>
      <c r="H7" s="1" t="s">
        <v>10</v>
      </c>
    </row>
    <row r="8" spans="1:16">
      <c r="B8" t="s">
        <v>3</v>
      </c>
      <c r="C8" t="s">
        <v>4</v>
      </c>
      <c r="D8" t="s">
        <v>5</v>
      </c>
      <c r="E8" t="s">
        <v>6</v>
      </c>
      <c r="I8" t="s">
        <v>3</v>
      </c>
      <c r="J8" t="s">
        <v>4</v>
      </c>
      <c r="K8" t="s">
        <v>5</v>
      </c>
      <c r="L8" t="s">
        <v>6</v>
      </c>
    </row>
    <row r="9" spans="1:16">
      <c r="A9" t="s">
        <v>11</v>
      </c>
      <c r="B9" s="6">
        <f>'Business Interruption'!C28*(1/((1+B32)^1))</f>
        <v>-8354696.7224979345</v>
      </c>
      <c r="C9" s="6">
        <f>'Business Interruption'!E28*(1/((1+B34)^3))</f>
        <v>-25631960.173203368</v>
      </c>
      <c r="D9" s="6">
        <f>'Business Interruption'!F28*(1/((1+B35)^4))</f>
        <v>-36411909.338054322</v>
      </c>
      <c r="E9" s="6">
        <f>'Business Interruption'!L28*(1/((1+B41)^10))</f>
        <v>-87264013.577516794</v>
      </c>
      <c r="H9" t="s">
        <v>11</v>
      </c>
      <c r="I9" s="6">
        <f>[1]Summary!B9</f>
        <v>-8354696.7224979298</v>
      </c>
      <c r="J9" s="6">
        <f>[1]Summary!C9</f>
        <v>-25631960.173203401</v>
      </c>
      <c r="K9" s="6">
        <f>'[1]Business Interruption'!$F$28*(1/((1+$B$35)^4))</f>
        <v>-34432293.185615681</v>
      </c>
      <c r="L9" s="6">
        <f>[1]Summary!D9</f>
        <v>-85461228.612895697</v>
      </c>
    </row>
    <row r="10" spans="1:16">
      <c r="A10" t="s">
        <v>12</v>
      </c>
      <c r="B10" s="6">
        <f>'Business Interruption'!C9*(1/((1+B32)^1))</f>
        <v>164598.27531436103</v>
      </c>
      <c r="C10" s="6">
        <f>'Business Interruption'!E9*(1/((1+B34)^3))</f>
        <v>503957.43894988758</v>
      </c>
      <c r="D10" s="6">
        <f>'Business Interruption'!F9*(1/((1+B35)^4))</f>
        <v>-393851.45960362081</v>
      </c>
      <c r="E10" s="6">
        <f>'Business Interruption'!L9*(1/((1+B41)^10))</f>
        <v>701514.35462065809</v>
      </c>
      <c r="H10" t="s">
        <v>12</v>
      </c>
      <c r="I10" s="6">
        <f>[1]Summary!B10</f>
        <v>164598.275314361</v>
      </c>
      <c r="J10" s="6">
        <f>[1]Summary!C10</f>
        <v>503957.43894988758</v>
      </c>
      <c r="K10" s="6">
        <f>'[1]Business Interruption'!$F$9*(1/((1+$B$35)^4))</f>
        <v>676549.38247641036</v>
      </c>
      <c r="L10" s="6">
        <f>[1]Summary!D10</f>
        <v>1676300.57357651</v>
      </c>
    </row>
    <row r="11" spans="1:16">
      <c r="A11" t="s">
        <v>13</v>
      </c>
      <c r="B11" s="6">
        <f>'Business Interruption'!C19*(1/((1+B32)^1))</f>
        <v>6163769.1688898839</v>
      </c>
      <c r="C11" s="6">
        <f>'Business Interruption'!E19*(1/((1+B34)^3))</f>
        <v>18908512.775510181</v>
      </c>
      <c r="D11" s="6">
        <f>'Business Interruption'!F19*(1/((1+B35)^4))</f>
        <v>24927316.575093616</v>
      </c>
      <c r="E11" s="6">
        <f>'Business Interruption'!L19*(1/((1+B41)^10))</f>
        <v>62607154.03596431</v>
      </c>
      <c r="H11" t="s">
        <v>13</v>
      </c>
      <c r="I11" s="6">
        <f>[1]Summary!B11</f>
        <v>6163769.1688898802</v>
      </c>
      <c r="J11" s="6">
        <f>[1]Summary!C11</f>
        <v>18908512.775510199</v>
      </c>
      <c r="K11" s="6">
        <f>'[1]Business Interruption'!$F$19*(1/((1+$B$35)^4))</f>
        <v>25399715.618146148</v>
      </c>
      <c r="L11" s="6">
        <f>[1]Summary!D11</f>
        <v>63037355.563198499</v>
      </c>
    </row>
    <row r="13" spans="1:16">
      <c r="A13" s="1" t="s">
        <v>14</v>
      </c>
      <c r="H13" s="1" t="s">
        <v>14</v>
      </c>
    </row>
    <row r="14" spans="1:16">
      <c r="B14" t="s">
        <v>3</v>
      </c>
      <c r="C14" t="s">
        <v>4</v>
      </c>
      <c r="D14" t="s">
        <v>5</v>
      </c>
      <c r="E14" t="s">
        <v>6</v>
      </c>
      <c r="I14" t="s">
        <v>3</v>
      </c>
      <c r="J14" t="s">
        <v>4</v>
      </c>
      <c r="K14" t="s">
        <v>5</v>
      </c>
      <c r="L14" t="s">
        <v>6</v>
      </c>
    </row>
    <row r="15" spans="1:16">
      <c r="A15" t="s">
        <v>11</v>
      </c>
      <c r="B15" s="6">
        <f>'Equipment Failure'!C28*(1/((1+B32)^1))</f>
        <v>-4672508.2639878131</v>
      </c>
      <c r="C15" s="6">
        <f>'Equipment Failure'!E28*(1/((1+B34)^3))</f>
        <v>-14351895.778928872</v>
      </c>
      <c r="D15" s="6">
        <f>'Equipment Failure'!F28*(1/((1+B35)^4))</f>
        <v>-242707902.23190209</v>
      </c>
      <c r="E15" s="6">
        <f>'Equipment Failure'!L28*(1/((1+B41)^10))</f>
        <v>-251380782.51490629</v>
      </c>
      <c r="H15" t="s">
        <v>11</v>
      </c>
      <c r="I15" s="6">
        <f>[1]Summary!B15</f>
        <v>-4672508.2639878104</v>
      </c>
      <c r="J15" s="6">
        <f>[1]Summary!C15</f>
        <v>-14351895.7789289</v>
      </c>
      <c r="K15" s="6">
        <f>'[1]Equipment Failure'!$F$28*(1/((1+$B$35)^4))</f>
        <v>-19286498.188100897</v>
      </c>
      <c r="L15" s="6">
        <f>[1]Summary!D15</f>
        <v>-47916718.287851296</v>
      </c>
    </row>
    <row r="16" spans="1:16">
      <c r="A16" t="s">
        <v>12</v>
      </c>
      <c r="B16" s="6">
        <f>'Equipment Failure'!C9*(1/((1+B32)^1))</f>
        <v>2327630.6379269403</v>
      </c>
      <c r="C16" s="6">
        <f>'Equipment Failure'!E9*(1/((1+B34)^3))</f>
        <v>7123479.0802648617</v>
      </c>
      <c r="D16" s="6">
        <f>'Equipment Failure'!F9*(1/((1+B35)^4))</f>
        <v>-207560940.10023072</v>
      </c>
      <c r="E16" s="6">
        <f>'Equipment Failure'!L9*(1/((1+B41)^10))</f>
        <v>-174045499.64905599</v>
      </c>
      <c r="H16" t="s">
        <v>12</v>
      </c>
      <c r="I16" s="6">
        <f>[1]Summary!B16</f>
        <v>2327630.6379269399</v>
      </c>
      <c r="J16" s="6">
        <f>[1]Summary!C16</f>
        <v>7123479.0802648598</v>
      </c>
      <c r="K16" s="6">
        <f>'[1]Equipment Failure'!$F$9*(1/((1+$B$35)^4))</f>
        <v>9561754.4813058656</v>
      </c>
      <c r="L16" s="6">
        <f>[1]Summary!D16</f>
        <v>23682493.622476298</v>
      </c>
    </row>
    <row r="17" spans="1:12">
      <c r="A17" t="s">
        <v>13</v>
      </c>
      <c r="B17" s="6">
        <f>'Equipment Failure'!C19*(1/((1+B32)^1))</f>
        <v>9154003.7935893927</v>
      </c>
      <c r="C17" s="6">
        <f>'Equipment Failure'!E19*(1/((1+B34)^3))</f>
        <v>28065766.726369813</v>
      </c>
      <c r="D17" s="6">
        <f>'Equipment Failure'!F19*(1/((1+B35)^4))</f>
        <v>-173139547.08800134</v>
      </c>
      <c r="E17" s="6">
        <f>'Equipment Failure'!L19*(1/((1+B41)^10))</f>
        <v>-98496155.547857761</v>
      </c>
      <c r="H17" t="s">
        <v>13</v>
      </c>
      <c r="I17" s="6">
        <f>[1]Summary!B17</f>
        <v>9154003.7935893908</v>
      </c>
      <c r="J17" s="6">
        <f>[1]Summary!C17</f>
        <v>28065766.726369798</v>
      </c>
      <c r="K17" s="6">
        <f>'[1]Equipment Failure'!$F$19*(1/((1+$B$35)^4))</f>
        <v>37693901.624320313</v>
      </c>
      <c r="L17" s="6">
        <f>[1]Summary!D17</f>
        <v>93504385.016310707</v>
      </c>
    </row>
    <row r="19" spans="1:12">
      <c r="A19" s="1" t="s">
        <v>15</v>
      </c>
      <c r="H19" s="1" t="s">
        <v>15</v>
      </c>
    </row>
    <row r="20" spans="1:12">
      <c r="B20" t="s">
        <v>3</v>
      </c>
      <c r="C20" t="s">
        <v>4</v>
      </c>
      <c r="D20" t="s">
        <v>5</v>
      </c>
      <c r="E20" t="s">
        <v>6</v>
      </c>
      <c r="I20" t="s">
        <v>3</v>
      </c>
      <c r="J20" t="s">
        <v>4</v>
      </c>
      <c r="K20" t="s">
        <v>5</v>
      </c>
      <c r="L20" t="s">
        <v>6</v>
      </c>
    </row>
    <row r="21" spans="1:12">
      <c r="A21" t="s">
        <v>11</v>
      </c>
      <c r="B21" s="3">
        <f>'Workers Compensation'!C27*(1/((1+B32)^1))</f>
        <v>-8418999.0246796664</v>
      </c>
      <c r="C21" s="3">
        <f>'Workers Compensation'!E27*(1/((1+B34)^3))</f>
        <v>-25788958.741086178</v>
      </c>
      <c r="D21" s="3">
        <f>'Workers Compensation'!F27*(1/((1+B35)^4))</f>
        <v>-35056206.128770418</v>
      </c>
      <c r="E21" s="3">
        <f>'Workers Compensation'!L27*(1/((1+B41)^10))</f>
        <v>-85935367.479406357</v>
      </c>
      <c r="H21" t="s">
        <v>11</v>
      </c>
      <c r="I21" s="3">
        <f>[1]Summary!B21</f>
        <v>-8418999.0246796701</v>
      </c>
      <c r="J21" s="3">
        <f>[1]Summary!C21</f>
        <v>-25788958.7410862</v>
      </c>
      <c r="K21" s="3">
        <f>'[1]Workers Compensation'!$F$27*(1/((1+$B$35)^4))</f>
        <v>-34616277.760843232</v>
      </c>
      <c r="L21" s="3">
        <f>[1]Summary!D21</f>
        <v>-85534736.151847005</v>
      </c>
    </row>
    <row r="22" spans="1:12">
      <c r="A22" t="s">
        <v>12</v>
      </c>
      <c r="B22" s="3">
        <f>'Workers Compensation'!C18*(1/((1+B32)^1))</f>
        <v>70727.091137306488</v>
      </c>
      <c r="C22" s="3">
        <f>'Workers Compensation'!E18*(1/((1+B34)^3))</f>
        <v>231722.86529208845</v>
      </c>
      <c r="D22" s="3">
        <f>'Workers Compensation'!F18*(1/((1+B35)^4))</f>
        <v>-7163.6837701113245</v>
      </c>
      <c r="E22" s="3">
        <f>'Workers Compensation'!L18*(1/((1+B41)^10))</f>
        <v>657564.58903832035</v>
      </c>
      <c r="H22" t="s">
        <v>12</v>
      </c>
      <c r="I22" s="3">
        <f>[1]Summary!B22</f>
        <v>70727.091137306488</v>
      </c>
      <c r="J22" s="3">
        <f>[1]Summary!C22</f>
        <v>231722.86529208839</v>
      </c>
      <c r="K22" s="3">
        <f>'[1]Workers Compensation'!$F$18*(1/((1+$B$35)^4))</f>
        <v>321797.9514400558</v>
      </c>
      <c r="L22" s="3">
        <f>[1]Summary!D22</f>
        <v>957141.39798862021</v>
      </c>
    </row>
    <row r="23" spans="1:12">
      <c r="A23" t="s">
        <v>13</v>
      </c>
      <c r="B23" s="3">
        <f>'Workers Compensation'!C9*(1/((1+B32)^1))</f>
        <v>8409789.4907229505</v>
      </c>
      <c r="C23" s="3">
        <f>'Workers Compensation'!E9*(1/((1+B34)^3))</f>
        <v>25790626.01896086</v>
      </c>
      <c r="D23" s="3">
        <f>'Workers Compensation'!F9*(1/((1+B35)^4))</f>
        <v>34419877.660950243</v>
      </c>
      <c r="E23" s="3">
        <f>'Workers Compensation'!L9*(1/((1+B41)^10))</f>
        <v>85713767.113229156</v>
      </c>
      <c r="H23" t="s">
        <v>13</v>
      </c>
      <c r="I23" s="3">
        <f>[1]Summary!B23</f>
        <v>8409789.4907229505</v>
      </c>
      <c r="J23" s="3">
        <f>[1]Summary!C23</f>
        <v>25790626.018960901</v>
      </c>
      <c r="K23" s="3">
        <f>'[1]Workers Compensation'!$F$9*(1/((1+$B$35)^4))</f>
        <v>34639841.844913885</v>
      </c>
      <c r="L23" s="3">
        <f>[1]Summary!D23</f>
        <v>85914082.777008802</v>
      </c>
    </row>
    <row r="25" spans="1:12">
      <c r="A25" s="1" t="s">
        <v>16</v>
      </c>
      <c r="H25" s="1" t="s">
        <v>16</v>
      </c>
    </row>
    <row r="26" spans="1:12">
      <c r="B26" t="s">
        <v>3</v>
      </c>
      <c r="C26" t="s">
        <v>4</v>
      </c>
      <c r="D26" t="s">
        <v>5</v>
      </c>
      <c r="E26" t="s">
        <v>6</v>
      </c>
      <c r="I26" t="s">
        <v>3</v>
      </c>
      <c r="J26" t="s">
        <v>4</v>
      </c>
      <c r="K26" t="s">
        <v>5</v>
      </c>
      <c r="L26" t="s">
        <v>6</v>
      </c>
    </row>
    <row r="27" spans="1:12">
      <c r="A27" t="s">
        <v>11</v>
      </c>
      <c r="B27" s="6">
        <f>'Cargo Loss'!C27*(1/((1+B32)^1))</f>
        <v>-2449676958.2395506</v>
      </c>
      <c r="C27" s="6">
        <f>'Cargo Loss'!E27*(1/((1+B34)^3))</f>
        <v>-7499406559.8239956</v>
      </c>
      <c r="D27" s="6">
        <f>'Cargo Loss'!F27*(1/((1+B35)^4))</f>
        <v>-10288555400.629509</v>
      </c>
      <c r="E27" s="6">
        <f>'Cargo Loss'!L27*(1/((1+B41)^10))</f>
        <v>-25023452267.754417</v>
      </c>
      <c r="H27" t="s">
        <v>11</v>
      </c>
      <c r="I27" s="6">
        <f>[1]Summary!B27</f>
        <v>-2449676958.2395501</v>
      </c>
      <c r="J27" s="6">
        <f>[1]Summary!C27</f>
        <v>-7499406559.8240004</v>
      </c>
      <c r="K27" s="6">
        <f>'[1]Cargo Loss'!$F$27*(1/((1+$B$35)^4))</f>
        <v>-10063235952.903023</v>
      </c>
      <c r="L27" s="6">
        <f>[1]Summary!D27</f>
        <v>-24818259704.4902</v>
      </c>
    </row>
    <row r="28" spans="1:12">
      <c r="A28" t="s">
        <v>12</v>
      </c>
      <c r="B28" s="6">
        <f>'Cargo Loss'!C18*(1/((1+B32)^1))</f>
        <v>142838385.65256777</v>
      </c>
      <c r="C28" s="6">
        <f>'Cargo Loss'!E18*(1/((1+B34)^3))</f>
        <v>446552520.92727232</v>
      </c>
      <c r="D28" s="6">
        <f>'Cargo Loss'!F18*(1/((1+B35)^4))</f>
        <v>414402396.5721091</v>
      </c>
      <c r="E28" s="6">
        <f>'Cargo Loss'!L18*(1/((1+B41)^10))</f>
        <v>1419509730.9610872</v>
      </c>
      <c r="H28" t="s">
        <v>12</v>
      </c>
      <c r="I28" s="6">
        <f>[1]Summary!B28</f>
        <v>142838385.65256801</v>
      </c>
      <c r="J28" s="6">
        <f>[1]Summary!C28</f>
        <v>446552520.92727202</v>
      </c>
      <c r="K28" s="6">
        <f>'[1]Cargo Loss'!$F$18*(1/((1+$B$35)^4))</f>
        <v>605835832.74702847</v>
      </c>
      <c r="L28" s="6">
        <f>[1]Summary!D28</f>
        <v>1593843184.4625399</v>
      </c>
    </row>
    <row r="29" spans="1:12">
      <c r="A29" t="s">
        <v>13</v>
      </c>
      <c r="B29" s="6">
        <f>'Cargo Loss'!C9*(1/((1+B32)^1))</f>
        <v>3186426421.8440275</v>
      </c>
      <c r="C29" s="6">
        <f>'Cargo Loss'!E9*(1/((1+B34)^3))</f>
        <v>9775031926.5433998</v>
      </c>
      <c r="D29" s="6">
        <f>'Cargo Loss'!F9*(1/((1+B35)^4))</f>
        <v>12979571733.051245</v>
      </c>
      <c r="E29" s="6">
        <f>'Cargo Loss'!L9*(1/((1+B41)^10))</f>
        <v>32463292353.257843</v>
      </c>
      <c r="H29" t="s">
        <v>13</v>
      </c>
      <c r="I29" s="6">
        <f>[1]Summary!B29</f>
        <v>3186426421.8440299</v>
      </c>
      <c r="J29" s="6">
        <f>[1]Summary!C29</f>
        <v>9775031926.5433998</v>
      </c>
      <c r="K29" s="6">
        <f>'[1]Cargo Loss'!$F$9*(1/((1+$B$35)^4))</f>
        <v>13131223318.138727</v>
      </c>
      <c r="L29" s="6">
        <f>[1]Summary!D29</f>
        <v>32601397509.209301</v>
      </c>
    </row>
    <row r="31" spans="1:12">
      <c r="A31" t="s">
        <v>17</v>
      </c>
      <c r="B31" t="s">
        <v>18</v>
      </c>
    </row>
    <row r="32" spans="1:12">
      <c r="A32">
        <v>1</v>
      </c>
      <c r="B32">
        <v>1.7740255752987766E-2</v>
      </c>
    </row>
    <row r="33" spans="1:2">
      <c r="A33">
        <v>2</v>
      </c>
      <c r="B33">
        <v>1.903980987356646E-2</v>
      </c>
    </row>
    <row r="34" spans="1:2">
      <c r="A34">
        <v>3</v>
      </c>
      <c r="B34">
        <v>2.032003147166761E-2</v>
      </c>
    </row>
    <row r="35" spans="1:2">
      <c r="A35">
        <v>4</v>
      </c>
      <c r="B35">
        <v>2.158684137788569E-2</v>
      </c>
    </row>
    <row r="36" spans="1:2">
      <c r="A36">
        <v>5</v>
      </c>
      <c r="B36">
        <v>2.2844226080733554E-2</v>
      </c>
    </row>
    <row r="37" spans="1:2">
      <c r="A37">
        <v>6</v>
      </c>
      <c r="B37">
        <v>2.4094896081125361E-2</v>
      </c>
    </row>
    <row r="38" spans="1:2">
      <c r="A38">
        <v>7</v>
      </c>
      <c r="B38">
        <v>2.5340713730866549E-2</v>
      </c>
    </row>
    <row r="39" spans="1:2">
      <c r="A39">
        <v>8</v>
      </c>
      <c r="B39">
        <v>2.658297297524026E-2</v>
      </c>
    </row>
    <row r="40" spans="1:2">
      <c r="A40">
        <v>9</v>
      </c>
      <c r="B40">
        <v>2.7822583467317141E-2</v>
      </c>
    </row>
    <row r="41" spans="1:2">
      <c r="A41">
        <v>10</v>
      </c>
      <c r="B41">
        <v>2.9060192599932311E-2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zoomScaleNormal="100" workbookViewId="0">
      <selection activeCell="F9" sqref="F9"/>
    </sheetView>
  </sheetViews>
  <sheetFormatPr defaultRowHeight="14.45"/>
  <cols>
    <col min="1" max="1" width="37.42578125" bestFit="1" customWidth="1"/>
    <col min="3" max="12" width="18.7109375" bestFit="1" customWidth="1"/>
    <col min="14" max="14" width="38.28515625" bestFit="1" customWidth="1"/>
    <col min="15" max="17" width="18.7109375" bestFit="1" customWidth="1"/>
    <col min="18" max="24" width="18.85546875" bestFit="1" customWidth="1"/>
    <col min="26" max="26" width="38.28515625" bestFit="1" customWidth="1"/>
    <col min="27" max="36" width="18.7109375" bestFit="1" customWidth="1"/>
  </cols>
  <sheetData>
    <row r="1" spans="1:36">
      <c r="A1" s="1" t="s">
        <v>19</v>
      </c>
      <c r="N1" s="1" t="s">
        <v>20</v>
      </c>
      <c r="Z1" s="1" t="s">
        <v>21</v>
      </c>
    </row>
    <row r="2" spans="1:36">
      <c r="A2" s="2"/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N2" s="2"/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>
        <v>10</v>
      </c>
      <c r="Z2" s="2"/>
      <c r="AA2">
        <v>1</v>
      </c>
      <c r="AB2">
        <v>2</v>
      </c>
      <c r="AC2">
        <v>3</v>
      </c>
      <c r="AD2">
        <v>4</v>
      </c>
      <c r="AE2">
        <v>5</v>
      </c>
      <c r="AF2">
        <v>6</v>
      </c>
      <c r="AG2">
        <v>7</v>
      </c>
      <c r="AH2">
        <v>8</v>
      </c>
      <c r="AI2">
        <v>9</v>
      </c>
      <c r="AJ2">
        <v>10</v>
      </c>
    </row>
    <row r="3" spans="1:36">
      <c r="A3" t="s">
        <v>22</v>
      </c>
      <c r="C3" s="3">
        <f>'Business Interruption'!C3+'Equipment Failure'!C3+'Workers Compensation'!C12+'Cargo Loss'!C12</f>
        <v>0</v>
      </c>
      <c r="D3" s="3">
        <f>'Business Interruption'!D3+'Equipment Failure'!D3+'Workers Compensation'!D12+'Cargo Loss'!D12</f>
        <v>147980798.64476815</v>
      </c>
      <c r="E3" s="3">
        <f>'Business Interruption'!E3+'Equipment Failure'!E3+'Workers Compensation'!E12+'Cargo Loss'!E12</f>
        <v>308527475.40103543</v>
      </c>
      <c r="F3" s="3">
        <f>'Business Interruption'!F3+'Equipment Failure'!F3+'Workers Compensation'!F12+'Cargo Loss'!F12</f>
        <v>482679356.6226604</v>
      </c>
      <c r="G3" s="3">
        <f>'Business Interruption'!G3+'Equipment Failure'!G3+'Workers Compensation'!G12+'Cargo Loss'!G12</f>
        <v>224851578.1958147</v>
      </c>
      <c r="H3" s="3">
        <f>'Business Interruption'!H3+'Equipment Failure'!H3+'Workers Compensation'!H12+'Cargo Loss'!H12</f>
        <v>420899043.60617584</v>
      </c>
      <c r="I3" s="3">
        <f>'Business Interruption'!I3+'Equipment Failure'!I3+'Workers Compensation'!I12+'Cargo Loss'!I12</f>
        <v>633068065.68761647</v>
      </c>
      <c r="J3" s="3">
        <f>'Business Interruption'!J3+'Equipment Failure'!J3+'Workers Compensation'!J12+'Cargo Loss'!J12</f>
        <v>862218586.97729778</v>
      </c>
      <c r="K3" s="3">
        <f>'Business Interruption'!K3+'Equipment Failure'!K3+'Workers Compensation'!K12+'Cargo Loss'!K12</f>
        <v>1109223279.2850103</v>
      </c>
      <c r="L3" s="3">
        <f>'Business Interruption'!L3+'Equipment Failure'!L3+'Workers Compensation'!L12+'Cargo Loss'!L12</f>
        <v>1374976431.1824937</v>
      </c>
      <c r="N3" t="s">
        <v>22</v>
      </c>
      <c r="O3" s="3">
        <f>'Business Interruption'!C22+'Equipment Failure'!C22+'Workers Compensation'!C21+'Cargo Loss'!C21</f>
        <v>0</v>
      </c>
      <c r="P3" s="3">
        <f>'Business Interruption'!D22+'Equipment Failure'!D22+'Workers Compensation'!D21+'Cargo Loss'!D21</f>
        <v>-2514961519.1461759</v>
      </c>
      <c r="Q3" s="3">
        <f>'Business Interruption'!E22+'Equipment Failure'!E22+'Workers Compensation'!E21+'Cargo Loss'!E21</f>
        <v>-5191014544.6498785</v>
      </c>
      <c r="R3" s="3">
        <f>'Business Interruption'!F22+'Equipment Failure'!F22+'Workers Compensation'!F21+'Cargo Loss'!F21</f>
        <v>-8035787968.1296873</v>
      </c>
      <c r="S3" s="3">
        <f>'Business Interruption'!G22+'Equipment Failure'!G22+'Workers Compensation'!G21+'Cargo Loss'!G21</f>
        <v>-11548322980.010368</v>
      </c>
      <c r="T3" s="3">
        <f>'Business Interruption'!H22+'Equipment Failure'!H22+'Workers Compensation'!H21+'Cargo Loss'!H21</f>
        <v>-14762491128.260277</v>
      </c>
      <c r="U3" s="3">
        <f>'Business Interruption'!I22+'Equipment Failure'!I22+'Workers Compensation'!I21+'Cargo Loss'!I21</f>
        <v>-18169016223.979904</v>
      </c>
      <c r="V3" s="3">
        <f>'Business Interruption'!J22+'Equipment Failure'!J22+'Workers Compensation'!J21+'Cargo Loss'!J21</f>
        <v>-21776196398.493156</v>
      </c>
      <c r="W3" s="3">
        <f>'Business Interruption'!K22+'Equipment Failure'!K22+'Workers Compensation'!K21+'Cargo Loss'!K21</f>
        <v>-25592630026.213531</v>
      </c>
      <c r="X3" s="3">
        <f>'Business Interruption'!L22+'Equipment Failure'!L22+'Workers Compensation'!L21+'Cargo Loss'!L21</f>
        <v>-29627233162.29763</v>
      </c>
      <c r="Z3" t="s">
        <v>22</v>
      </c>
      <c r="AA3" s="3">
        <f>'Business Interruption'!C13+'Equipment Failure'!C13+'Workers Compensation'!C3+'Cargo Loss'!C3</f>
        <v>0</v>
      </c>
      <c r="AB3" s="3">
        <f>'Business Interruption'!D13+'Equipment Failure'!D13+'Workers Compensation'!D3+'Cargo Loss'!D3</f>
        <v>3267102936.9851351</v>
      </c>
      <c r="AC3" s="3">
        <f>'Business Interruption'!E13+'Equipment Failure'!E13+'Workers Compensation'!E3+'Cargo Loss'!E3</f>
        <v>6750172453.5033627</v>
      </c>
      <c r="AD3" s="3">
        <f>'Business Interruption'!F13+'Equipment Failure'!F13+'Workers Compensation'!F3+'Cargo Loss'!F3</f>
        <v>10460400656.493042</v>
      </c>
      <c r="AE3" s="3">
        <f>'Business Interruption'!G13+'Equipment Failure'!G13+'Workers Compensation'!G3+'Cargo Loss'!G3</f>
        <v>14013198091.131668</v>
      </c>
      <c r="AF3" s="3">
        <f>'Business Interruption'!H13+'Equipment Failure'!H13+'Workers Compensation'!H3+'Cargo Loss'!H3</f>
        <v>18203601048.033932</v>
      </c>
      <c r="AG3" s="3">
        <f>'Business Interruption'!I13+'Equipment Failure'!I13+'Workers Compensation'!I3+'Cargo Loss'!I3</f>
        <v>22654310362.270855</v>
      </c>
      <c r="AH3" s="3">
        <f>'Business Interruption'!J13+'Equipment Failure'!J13+'Workers Compensation'!J3+'Cargo Loss'!J3</f>
        <v>27376912455.439365</v>
      </c>
      <c r="AI3" s="3">
        <f>'Business Interruption'!K13+'Equipment Failure'!K13+'Workers Compensation'!K3+'Cargo Loss'!K3</f>
        <v>32383373041.456726</v>
      </c>
      <c r="AJ3" s="3">
        <f>'Business Interruption'!L13+'Equipment Failure'!L13+'Workers Compensation'!L3+'Cargo Loss'!L3</f>
        <v>37686076849.797531</v>
      </c>
    </row>
    <row r="4" spans="1:36">
      <c r="A4" t="s">
        <v>23</v>
      </c>
      <c r="C4" s="3">
        <f>'Business Interruption'!C4+'Equipment Failure'!C4+'Workers Compensation'!C13+'Cargo Loss'!C13</f>
        <v>14928860354</v>
      </c>
      <c r="D4" s="3">
        <f>'Business Interruption'!D4+'Equipment Failure'!D4+'Workers Compensation'!D13+'Cargo Loss'!D13</f>
        <v>15636154632.006327</v>
      </c>
      <c r="E4" s="3">
        <f>'Business Interruption'!E4+'Equipment Failure'!E4+'Workers Compensation'!E13+'Cargo Loss'!E13</f>
        <v>16373268865.146942</v>
      </c>
      <c r="F4" s="3">
        <f>'Business Interruption'!F4+'Equipment Failure'!F4+'Workers Compensation'!F13+'Cargo Loss'!F13</f>
        <v>17139814872.45923</v>
      </c>
      <c r="G4" s="3">
        <f>'Business Interruption'!G4+'Equipment Failure'!G4+'Workers Compensation'!G13+'Cargo Loss'!G13</f>
        <v>17935911780.703209</v>
      </c>
      <c r="H4" s="3">
        <f>'Business Interruption'!H4+'Equipment Failure'!H4+'Workers Compensation'!H13+'Cargo Loss'!H13</f>
        <v>18762004640.750698</v>
      </c>
      <c r="I4" s="3">
        <f>'Business Interruption'!I4+'Equipment Failure'!I4+'Workers Compensation'!I13+'Cargo Loss'!I13</f>
        <v>19618752285.96027</v>
      </c>
      <c r="J4" s="3">
        <f>'Business Interruption'!J4+'Equipment Failure'!J4+'Workers Compensation'!J13+'Cargo Loss'!J13</f>
        <v>20506958139.557537</v>
      </c>
      <c r="K4" s="3">
        <f>'Business Interruption'!K4+'Equipment Failure'!K4+'Workers Compensation'!K13+'Cargo Loss'!K13</f>
        <v>21427527542.556046</v>
      </c>
      <c r="L4" s="3">
        <f>'Business Interruption'!L4+'Equipment Failure'!L4+'Workers Compensation'!L13+'Cargo Loss'!L13</f>
        <v>22381441694.406559</v>
      </c>
      <c r="N4" t="s">
        <v>23</v>
      </c>
      <c r="O4" s="3">
        <f>'Business Interruption'!C23+'Equipment Failure'!C23+'Workers Compensation'!C22+'Cargo Loss'!C22</f>
        <v>14928860354</v>
      </c>
      <c r="P4" s="3">
        <f>'Business Interruption'!D23+'Equipment Failure'!D23+'Workers Compensation'!D22+'Cargo Loss'!D22</f>
        <v>15636154632.006327</v>
      </c>
      <c r="Q4" s="3">
        <f>'Business Interruption'!E23+'Equipment Failure'!E23+'Workers Compensation'!E22+'Cargo Loss'!E22</f>
        <v>16373268865.146942</v>
      </c>
      <c r="R4" s="3">
        <f>'Business Interruption'!F23+'Equipment Failure'!F23+'Workers Compensation'!F22+'Cargo Loss'!F22</f>
        <v>17139814872.45923</v>
      </c>
      <c r="S4" s="3">
        <f>'Business Interruption'!G23+'Equipment Failure'!G23+'Workers Compensation'!G22+'Cargo Loss'!G22</f>
        <v>17935911780.703209</v>
      </c>
      <c r="T4" s="3">
        <f>'Business Interruption'!H23+'Equipment Failure'!H23+'Workers Compensation'!H22+'Cargo Loss'!H22</f>
        <v>18762004640.750698</v>
      </c>
      <c r="U4" s="3">
        <f>'Business Interruption'!I23+'Equipment Failure'!I23+'Workers Compensation'!I22+'Cargo Loss'!I22</f>
        <v>19618752285.96027</v>
      </c>
      <c r="V4" s="3">
        <f>'Business Interruption'!J23+'Equipment Failure'!J23+'Workers Compensation'!J22+'Cargo Loss'!J22</f>
        <v>20506958139.557537</v>
      </c>
      <c r="W4" s="3">
        <f>'Business Interruption'!K23+'Equipment Failure'!K23+'Workers Compensation'!K22+'Cargo Loss'!K22</f>
        <v>21427527542.556046</v>
      </c>
      <c r="X4" s="3">
        <f>'Business Interruption'!L23+'Equipment Failure'!L23+'Workers Compensation'!L22+'Cargo Loss'!L22</f>
        <v>22381441694.406559</v>
      </c>
      <c r="Z4" t="s">
        <v>23</v>
      </c>
      <c r="AA4" s="3">
        <f>'Business Interruption'!C14+'Equipment Failure'!C14+'Workers Compensation'!C4+'Cargo Loss'!C4</f>
        <v>14928860354</v>
      </c>
      <c r="AB4" s="3">
        <f>'Business Interruption'!D14+'Equipment Failure'!D14+'Workers Compensation'!D4+'Cargo Loss'!D4</f>
        <v>15636154632.006327</v>
      </c>
      <c r="AC4" s="3">
        <f>'Business Interruption'!E14+'Equipment Failure'!E14+'Workers Compensation'!E4+'Cargo Loss'!E4</f>
        <v>16373268865.146942</v>
      </c>
      <c r="AD4" s="3">
        <f>'Business Interruption'!F14+'Equipment Failure'!F14+'Workers Compensation'!F4+'Cargo Loss'!F4</f>
        <v>17139814872.45923</v>
      </c>
      <c r="AE4" s="3">
        <f>'Business Interruption'!G14+'Equipment Failure'!G14+'Workers Compensation'!G4+'Cargo Loss'!G4</f>
        <v>17935911780.703209</v>
      </c>
      <c r="AF4" s="3">
        <f>'Business Interruption'!H14+'Equipment Failure'!H14+'Workers Compensation'!H4+'Cargo Loss'!H4</f>
        <v>18762004640.750698</v>
      </c>
      <c r="AG4" s="3">
        <f>'Business Interruption'!I14+'Equipment Failure'!I14+'Workers Compensation'!I4+'Cargo Loss'!I4</f>
        <v>19618752285.96027</v>
      </c>
      <c r="AH4" s="3">
        <f>'Business Interruption'!J14+'Equipment Failure'!J14+'Workers Compensation'!J4+'Cargo Loss'!J4</f>
        <v>20506958139.557537</v>
      </c>
      <c r="AI4" s="3">
        <f>'Business Interruption'!K14+'Equipment Failure'!K14+'Workers Compensation'!K4+'Cargo Loss'!K4</f>
        <v>21427527542.556046</v>
      </c>
      <c r="AJ4" s="3">
        <f>'Business Interruption'!L14+'Equipment Failure'!L14+'Workers Compensation'!L4+'Cargo Loss'!L4</f>
        <v>22381441694.406559</v>
      </c>
    </row>
    <row r="5" spans="1:36">
      <c r="A5" t="s">
        <v>24</v>
      </c>
      <c r="C5" s="3">
        <f>'Business Interruption'!C5+'Equipment Failure'!C5+'Workers Compensation'!C14+'Cargo Loss'!C14</f>
        <v>131838759.38913561</v>
      </c>
      <c r="D5" s="3">
        <f>'Business Interruption'!D5+'Equipment Failure'!D5+'Workers Compensation'!D14+'Cargo Loss'!D14</f>
        <v>140502937.56636986</v>
      </c>
      <c r="E5" s="3">
        <f>'Business Interruption'!E5+'Equipment Failure'!E5+'Workers Compensation'!E14+'Cargo Loss'!E14</f>
        <v>149188262.18885937</v>
      </c>
      <c r="F5" s="3">
        <f>'Business Interruption'!F5+'Equipment Failure'!F5+'Workers Compensation'!F14+'Cargo Loss'!F14</f>
        <v>158035331.78407606</v>
      </c>
      <c r="G5" s="3">
        <f>'Business Interruption'!G5+'Equipment Failure'!G5+'Workers Compensation'!G14+'Cargo Loss'!G14</f>
        <v>163127200.20919055</v>
      </c>
      <c r="H5" s="3">
        <f>'Business Interruption'!H5+'Equipment Failure'!H5+'Workers Compensation'!H14+'Cargo Loss'!H14</f>
        <v>172473942.54327127</v>
      </c>
      <c r="I5" s="3">
        <f>'Business Interruption'!I5+'Equipment Failure'!I5+'Workers Compensation'!I14+'Cargo Loss'!I14</f>
        <v>182187954.87951329</v>
      </c>
      <c r="J5" s="3">
        <f>'Business Interruption'!J5+'Equipment Failure'!J5+'Workers Compensation'!J14+'Cargo Loss'!J14</f>
        <v>192304355.78267816</v>
      </c>
      <c r="K5" s="3">
        <f>'Business Interruption'!K5+'Equipment Failure'!K5+'Workers Compensation'!K14+'Cargo Loss'!K14</f>
        <v>202851786.47594351</v>
      </c>
      <c r="L5" s="3">
        <f>'Business Interruption'!L5+'Equipment Failure'!L5+'Workers Compensation'!L14+'Cargo Loss'!L14</f>
        <v>213855052.2469905</v>
      </c>
      <c r="N5" t="s">
        <v>24</v>
      </c>
      <c r="O5" s="3">
        <f>'Business Interruption'!C24+'Equipment Failure'!C24+'Workers Compensation'!C23+'Cargo Loss'!C23</f>
        <v>131838759.38913561</v>
      </c>
      <c r="P5" s="3">
        <f>'Business Interruption'!D24+'Equipment Failure'!D24+'Workers Compensation'!D23+'Cargo Loss'!D23</f>
        <v>116798679.58763611</v>
      </c>
      <c r="Q5" s="3">
        <f>'Business Interruption'!E24+'Equipment Failure'!E24+'Workers Compensation'!E23+'Cargo Loss'!E23</f>
        <v>100004882.88984956</v>
      </c>
      <c r="R5" s="3">
        <f>'Business Interruption'!F24+'Equipment Failure'!F24+'Workers Compensation'!F23+'Cargo Loss'!F23</f>
        <v>81643261.940896749</v>
      </c>
      <c r="S5" s="3">
        <f>'Business Interruption'!G24+'Equipment Failure'!G24+'Workers Compensation'!G23+'Cargo Loss'!G23</f>
        <v>57375863.368321225</v>
      </c>
      <c r="T5" s="3">
        <f>'Business Interruption'!H24+'Equipment Failure'!H24+'Workers Compensation'!H23+'Cargo Loss'!H23</f>
        <v>35959720.963246681</v>
      </c>
      <c r="U5" s="3">
        <f>'Business Interruption'!I24+'Equipment Failure'!I24+'Workers Compensation'!I23+'Cargo Loss'!I23</f>
        <v>13042010.232220439</v>
      </c>
      <c r="V5" s="3">
        <f>'Business Interruption'!J24+'Equipment Failure'!J24+'Workers Compensation'!J23+'Cargo Loss'!J23</f>
        <v>-11422061.263420584</v>
      </c>
      <c r="W5" s="3">
        <f>'Business Interruption'!K24+'Equipment Failure'!K24+'Workers Compensation'!K23+'Cargo Loss'!K23</f>
        <v>-37489808.816916645</v>
      </c>
      <c r="X5" s="3">
        <f>'Business Interruption'!L24+'Equipment Failure'!L24+'Workers Compensation'!L23+'Cargo Loss'!L23</f>
        <v>-65226546.55869849</v>
      </c>
      <c r="Z5" t="s">
        <v>24</v>
      </c>
      <c r="AA5" s="3">
        <f>'Business Interruption'!C15+'Equipment Failure'!C15+'Workers Compensation'!C5+'Cargo Loss'!C5</f>
        <v>131838759.38913561</v>
      </c>
      <c r="AB5" s="3">
        <f>'Business Interruption'!D15+'Equipment Failure'!D15+'Workers Compensation'!D5+'Cargo Loss'!D5</f>
        <v>168267893.39753261</v>
      </c>
      <c r="AC5" s="3">
        <f>'Business Interruption'!E15+'Equipment Failure'!E15+'Workers Compensation'!E5+'Cargo Loss'!E5</f>
        <v>206797035.26713753</v>
      </c>
      <c r="AD5" s="3">
        <f>'Business Interruption'!F15+'Equipment Failure'!F15+'Workers Compensation'!F5+'Cargo Loss'!F5</f>
        <v>247513726.58881703</v>
      </c>
      <c r="AE5" s="3">
        <f>'Business Interruption'!G15+'Equipment Failure'!G15+'Workers Compensation'!G5+'Cargo Loss'!G5</f>
        <v>286979613.11270523</v>
      </c>
      <c r="AF5" s="3">
        <f>'Business Interruption'!H15+'Equipment Failure'!H15+'Workers Compensation'!H5+'Cargo Loss'!H5</f>
        <v>332358638.53311157</v>
      </c>
      <c r="AG5" s="3">
        <f>'Business Interruption'!I15+'Equipment Failure'!I15+'Workers Compensation'!I5+'Cargo Loss'!I5</f>
        <v>380293854.90515125</v>
      </c>
      <c r="AH5" s="3">
        <f>'Business Interruption'!J15+'Equipment Failure'!J15+'Workers Compensation'!J5+'Cargo Loss'!J5</f>
        <v>430913975.06754541</v>
      </c>
      <c r="AI5" s="3">
        <f>'Business Interruption'!K15+'Equipment Failure'!K15+'Workers Compensation'!K5+'Cargo Loss'!K5</f>
        <v>484348316.29622948</v>
      </c>
      <c r="AJ5" s="3">
        <f>'Business Interruption'!L15+'Equipment Failure'!L15+'Workers Compensation'!L5+'Cargo Loss'!L5</f>
        <v>540727236.26551855</v>
      </c>
    </row>
    <row r="6" spans="1:36">
      <c r="A6" t="s">
        <v>25</v>
      </c>
      <c r="C6" s="3">
        <f>'Business Interruption'!C6+'Equipment Failure'!C6+'Workers Compensation'!C15+'Cargo Loss'!C15</f>
        <v>14914013713.102694</v>
      </c>
      <c r="D6" s="3">
        <f>'Business Interruption'!D6+'Equipment Failure'!D6+'Workers Compensation'!D15+'Cargo Loss'!D15</f>
        <v>15618833027.888601</v>
      </c>
      <c r="E6" s="3">
        <f>'Business Interruption'!E6+'Equipment Failure'!E6+'Workers Compensation'!E15+'Cargo Loss'!E15</f>
        <v>16352583670.467155</v>
      </c>
      <c r="F6" s="3">
        <f>'Business Interruption'!F6+'Equipment Failure'!F6+'Workers Compensation'!F15+'Cargo Loss'!F15</f>
        <v>17557676488.599949</v>
      </c>
      <c r="G6" s="3">
        <f>'Business Interruption'!G6+'Equipment Failure'!G6+'Workers Compensation'!G15+'Cargo Loss'!G15</f>
        <v>17906738540.858509</v>
      </c>
      <c r="H6" s="3">
        <f>'Business Interruption'!H6+'Equipment Failure'!H6+'Workers Compensation'!H15+'Cargo Loss'!H15</f>
        <v>18727950770.973045</v>
      </c>
      <c r="I6" s="3">
        <f>'Business Interruption'!I6+'Equipment Failure'!I6+'Workers Compensation'!I15+'Cargo Loss'!I15</f>
        <v>19579477190.293194</v>
      </c>
      <c r="J6" s="3">
        <f>'Business Interruption'!J6+'Equipment Failure'!J6+'Workers Compensation'!J15+'Cargo Loss'!J15</f>
        <v>20462150837.157928</v>
      </c>
      <c r="K6" s="3">
        <f>'Business Interruption'!K6+'Equipment Failure'!K6+'Workers Compensation'!K15+'Cargo Loss'!K15</f>
        <v>21376891845.547096</v>
      </c>
      <c r="L6" s="3">
        <f>'Business Interruption'!L6+'Equipment Failure'!L6+'Workers Compensation'!L15+'Cargo Loss'!L15</f>
        <v>22324686828.428802</v>
      </c>
      <c r="N6" t="s">
        <v>25</v>
      </c>
      <c r="O6" s="3">
        <f>'Business Interruption'!C25+'Equipment Failure'!C25+'Workers Compensation'!C24+'Cargo Loss'!C24</f>
        <v>17553645093.674908</v>
      </c>
      <c r="P6" s="3">
        <f>'Business Interruption'!D25+'Equipment Failure'!D25+'Workers Compensation'!D24+'Cargo Loss'!D24</f>
        <v>18383206063.608963</v>
      </c>
      <c r="Q6" s="3">
        <f>'Business Interruption'!E25+'Equipment Failure'!E25+'Workers Compensation'!E24+'Cargo Loss'!E24</f>
        <v>19246818703.86721</v>
      </c>
      <c r="R6" s="3">
        <f>'Business Interruption'!F25+'Equipment Failure'!F25+'Workers Compensation'!F24+'Cargo Loss'!F24</f>
        <v>20631350362.361004</v>
      </c>
      <c r="S6" s="3">
        <f>'Business Interruption'!G25+'Equipment Failure'!G25+'Workers Compensation'!G24+'Cargo Loss'!G24</f>
        <v>21076033710.417053</v>
      </c>
      <c r="T6" s="3">
        <f>'Business Interruption'!H25+'Equipment Failure'!H25+'Workers Compensation'!H24+'Cargo Loss'!H24</f>
        <v>22042587069.338219</v>
      </c>
      <c r="U6" s="3">
        <f>'Business Interruption'!I25+'Equipment Failure'!I25+'Workers Compensation'!I24+'Cargo Loss'!I24</f>
        <v>23044819676.042728</v>
      </c>
      <c r="V6" s="3">
        <f>'Business Interruption'!J25+'Equipment Failure'!J25+'Workers Compensation'!J24+'Cargo Loss'!J24</f>
        <v>24083711999.079338</v>
      </c>
      <c r="W6" s="3">
        <f>'Business Interruption'!K25+'Equipment Failure'!K25+'Workers Compensation'!K24+'Cargo Loss'!K24</f>
        <v>25160347017.426998</v>
      </c>
      <c r="X6" s="3">
        <f>'Business Interruption'!L25+'Equipment Failure'!L25+'Workers Compensation'!L24+'Cargo Loss'!L24</f>
        <v>26275885954.866772</v>
      </c>
      <c r="Z6" t="s">
        <v>25</v>
      </c>
      <c r="AA6" s="3">
        <f>'Business Interruption'!C16+'Equipment Failure'!C16+'Workers Compensation'!C6+'Cargo Loss'!C6</f>
        <v>11822195831.357985</v>
      </c>
      <c r="AB6" s="3">
        <f>'Business Interruption'!D16+'Equipment Failure'!D16+'Workers Compensation'!D6+'Cargo Loss'!D6</f>
        <v>12380909718.235445</v>
      </c>
      <c r="AC6" s="3">
        <f>'Business Interruption'!E16+'Equipment Failure'!E16+'Workers Compensation'!E6+'Cargo Loss'!E6</f>
        <v>12962557703.566387</v>
      </c>
      <c r="AD6" s="3">
        <f>'Business Interruption'!F16+'Equipment Failure'!F16+'Workers Compensation'!F6+'Cargo Loss'!F6</f>
        <v>13959082033.499516</v>
      </c>
      <c r="AE6" s="3">
        <f>'Business Interruption'!G16+'Equipment Failure'!G16+'Workers Compensation'!G6+'Cargo Loss'!G6</f>
        <v>14194544767.861055</v>
      </c>
      <c r="AF6" s="3">
        <f>'Business Interruption'!H16+'Equipment Failure'!H16+'Workers Compensation'!H6+'Cargo Loss'!H6</f>
        <v>14845524385.717434</v>
      </c>
      <c r="AG6" s="3">
        <f>'Business Interruption'!I16+'Equipment Failure'!I16+'Workers Compensation'!I6+'Cargo Loss'!I6</f>
        <v>15520534370.865604</v>
      </c>
      <c r="AH6" s="3">
        <f>'Business Interruption'!J16+'Equipment Failure'!J16+'Workers Compensation'!J6+'Cargo Loss'!J6</f>
        <v>16220235087.018768</v>
      </c>
      <c r="AI6" s="3">
        <f>'Business Interruption'!K16+'Equipment Failure'!K16+'Workers Compensation'!K6+'Cargo Loss'!K6</f>
        <v>16945355938.415257</v>
      </c>
      <c r="AJ6" s="3">
        <f>'Business Interruption'!L16+'Equipment Failure'!L16+'Workers Compensation'!L6+'Cargo Loss'!L6</f>
        <v>17696679027.277077</v>
      </c>
    </row>
    <row r="7" spans="1:36">
      <c r="A7" t="s">
        <v>26</v>
      </c>
      <c r="C7" s="3">
        <f>'Business Interruption'!C7+'Equipment Failure'!C7+'Workers Compensation'!C16+'Cargo Loss'!C16</f>
        <v>146685400.28644127</v>
      </c>
      <c r="D7" s="3">
        <f>'Business Interruption'!D7+'Equipment Failure'!D7+'Workers Compensation'!D16+'Cargo Loss'!D16</f>
        <v>305805340.32886338</v>
      </c>
      <c r="E7" s="3">
        <f>'Business Interruption'!E7+'Equipment Failure'!E7+'Workers Compensation'!E16+'Cargo Loss'!E16</f>
        <v>478400932.26968098</v>
      </c>
      <c r="F7" s="3">
        <f>'Business Interruption'!F7+'Equipment Failure'!F7+'Workers Compensation'!F16+'Cargo Loss'!F16</f>
        <v>222853072.26601616</v>
      </c>
      <c r="G7" s="3">
        <f>'Business Interruption'!G7+'Equipment Failure'!G7+'Workers Compensation'!G16+'Cargo Loss'!G16</f>
        <v>417152018.24970359</v>
      </c>
      <c r="H7" s="3">
        <f>'Business Interruption'!H7+'Equipment Failure'!H7+'Workers Compensation'!H16+'Cargo Loss'!H16</f>
        <v>627426855.92709816</v>
      </c>
      <c r="I7" s="3">
        <f>'Business Interruption'!I7+'Equipment Failure'!I7+'Workers Compensation'!I16+'Cargo Loss'!I16</f>
        <v>854531116.23420727</v>
      </c>
      <c r="J7" s="3">
        <f>'Business Interruption'!J7+'Equipment Failure'!J7+'Workers Compensation'!J16+'Cargo Loss'!J16</f>
        <v>1099330245.1595862</v>
      </c>
      <c r="K7" s="3">
        <f>'Business Interruption'!K7+'Equipment Failure'!K7+'Workers Compensation'!K16+'Cargo Loss'!K16</f>
        <v>1362710762.7699034</v>
      </c>
      <c r="L7" s="3">
        <f>'Business Interruption'!L7+'Equipment Failure'!L7+'Workers Compensation'!L16+'Cargo Loss'!L16</f>
        <v>1645586349.4072406</v>
      </c>
      <c r="N7" t="s">
        <v>26</v>
      </c>
      <c r="O7" s="3">
        <f>'Business Interruption'!C26+'Equipment Failure'!C26+'Workers Compensation'!C25+'Cargo Loss'!C25</f>
        <v>-2492945980.2857733</v>
      </c>
      <c r="P7" s="3">
        <f>'Business Interruption'!D26+'Equipment Failure'!D26+'Workers Compensation'!D25+'Cargo Loss'!D25</f>
        <v>-5145214271.1611748</v>
      </c>
      <c r="Q7" s="3">
        <f>'Business Interruption'!E26+'Equipment Failure'!E26+'Workers Compensation'!E25+'Cargo Loss'!E25</f>
        <v>-7964559500.480298</v>
      </c>
      <c r="R7" s="3">
        <f>'Business Interruption'!F26+'Equipment Failure'!F26+'Workers Compensation'!F25+'Cargo Loss'!F25</f>
        <v>-11445680196.090567</v>
      </c>
      <c r="S7" s="3">
        <f>'Business Interruption'!G26+'Equipment Failure'!G26+'Workers Compensation'!G25+'Cargo Loss'!G25</f>
        <v>-14631069046.35589</v>
      </c>
      <c r="T7" s="3">
        <f>'Business Interruption'!H26+'Equipment Failure'!H26+'Workers Compensation'!H25+'Cargo Loss'!H25</f>
        <v>-18007113835.884552</v>
      </c>
      <c r="U7" s="3">
        <f>'Business Interruption'!I26+'Equipment Failure'!I26+'Workers Compensation'!I25+'Cargo Loss'!I25</f>
        <v>-21582041603.830147</v>
      </c>
      <c r="V7" s="3">
        <f>'Business Interruption'!J26+'Equipment Failure'!J26+'Workers Compensation'!J25+'Cargo Loss'!J25</f>
        <v>-25364372319.278381</v>
      </c>
      <c r="W7" s="3">
        <f>'Business Interruption'!K26+'Equipment Failure'!K26+'Workers Compensation'!K25+'Cargo Loss'!K25</f>
        <v>-29362939309.901402</v>
      </c>
      <c r="X7" s="3">
        <f>'Business Interruption'!L26+'Equipment Failure'!L26+'Workers Compensation'!L25+'Cargo Loss'!L25</f>
        <v>-33586903969.31654</v>
      </c>
      <c r="Z7" t="s">
        <v>26</v>
      </c>
      <c r="AA7" s="3">
        <f>'Business Interruption'!C17+'Equipment Failure'!C17+'Workers Compensation'!C7+'Cargo Loss'!C7</f>
        <v>3238503282.0311499</v>
      </c>
      <c r="AB7" s="3">
        <f>'Business Interruption'!D17+'Equipment Failure'!D17+'Workers Compensation'!D7+'Cargo Loss'!D7</f>
        <v>6690615744.1535501</v>
      </c>
      <c r="AC7" s="3">
        <f>'Business Interruption'!E17+'Equipment Failure'!E17+'Workers Compensation'!E7+'Cargo Loss'!E7</f>
        <v>10367680650.351057</v>
      </c>
      <c r="AD7" s="3">
        <f>'Business Interruption'!F17+'Equipment Failure'!F17+'Workers Compensation'!F7+'Cargo Loss'!F7</f>
        <v>13888647222.041574</v>
      </c>
      <c r="AE7" s="3">
        <f>'Business Interruption'!G17+'Equipment Failure'!G17+'Workers Compensation'!G7+'Cargo Loss'!G7</f>
        <v>18041544717.086525</v>
      </c>
      <c r="AF7" s="3">
        <f>'Business Interruption'!H17+'Equipment Failure'!H17+'Workers Compensation'!H7+'Cargo Loss'!H7</f>
        <v>22452439941.600304</v>
      </c>
      <c r="AG7" s="3">
        <f>'Business Interruption'!I17+'Equipment Failure'!I17+'Workers Compensation'!I7+'Cargo Loss'!I7</f>
        <v>27132822132.270672</v>
      </c>
      <c r="AH7" s="3">
        <f>'Business Interruption'!J17+'Equipment Failure'!J17+'Workers Compensation'!J7+'Cargo Loss'!J7</f>
        <v>32094549483.045677</v>
      </c>
      <c r="AI7" s="3">
        <f>'Business Interruption'!K17+'Equipment Failure'!K17+'Workers Compensation'!K7+'Cargo Loss'!K7</f>
        <v>37349892961.893738</v>
      </c>
      <c r="AJ7" s="3">
        <f>'Business Interruption'!L17+'Equipment Failure'!L17+'Workers Compensation'!L7+'Cargo Loss'!L7</f>
        <v>42911566753.192535</v>
      </c>
    </row>
    <row r="8" spans="1:36">
      <c r="A8" t="s">
        <v>27</v>
      </c>
      <c r="C8" s="3">
        <f>'Business Interruption'!C8+'Equipment Failure'!C8+'Workers Compensation'!C17+'Cargo Loss'!C17</f>
        <v>1295398.3583269019</v>
      </c>
      <c r="D8" s="3">
        <f>'Business Interruption'!D8+'Equipment Failure'!D8+'Workers Compensation'!D17+'Cargo Loss'!D17</f>
        <v>2722135.0721720471</v>
      </c>
      <c r="E8" s="3">
        <f>'Business Interruption'!E8+'Equipment Failure'!E8+'Workers Compensation'!E17+'Cargo Loss'!E17</f>
        <v>4278424.3529794486</v>
      </c>
      <c r="F8" s="3">
        <f>'Business Interruption'!F8+'Equipment Failure'!F8+'Workers Compensation'!F17+'Cargo Loss'!F17</f>
        <v>1998505.9297985306</v>
      </c>
      <c r="G8" s="3">
        <f>'Business Interruption'!G8+'Equipment Failure'!G8+'Workers Compensation'!G17+'Cargo Loss'!G17</f>
        <v>3747025.3564722789</v>
      </c>
      <c r="H8" s="3">
        <f>'Business Interruption'!H8+'Equipment Failure'!H8+'Workers Compensation'!H17+'Cargo Loss'!H17</f>
        <v>5641209.7605182594</v>
      </c>
      <c r="I8" s="3">
        <f>'Business Interruption'!I8+'Equipment Failure'!I8+'Workers Compensation'!I17+'Cargo Loss'!I17</f>
        <v>7687470.7430904983</v>
      </c>
      <c r="J8" s="3">
        <f>'Business Interruption'!J8+'Equipment Failure'!J8+'Workers Compensation'!J17+'Cargo Loss'!J17</f>
        <v>9893034.1254241131</v>
      </c>
      <c r="K8" s="3">
        <f>'Business Interruption'!K8+'Equipment Failure'!K8+'Workers Compensation'!K17+'Cargo Loss'!K17</f>
        <v>12265668.412590133</v>
      </c>
      <c r="L8" s="3">
        <f>'Business Interruption'!L8+'Equipment Failure'!L8+'Workers Compensation'!L17+'Cargo Loss'!L17</f>
        <v>14813552.82050517</v>
      </c>
      <c r="N8" t="s">
        <v>27</v>
      </c>
      <c r="O8" s="3">
        <f>'Business Interruption'!C27+'Equipment Failure'!C27+'Workers Compensation'!C26+'Cargo Loss'!C26</f>
        <v>-22015538.860402476</v>
      </c>
      <c r="P8" s="3">
        <f>'Business Interruption'!D27+'Equipment Failure'!D27+'Workers Compensation'!D26+'Cargo Loss'!D26</f>
        <v>-45800273.488703422</v>
      </c>
      <c r="Q8" s="3">
        <f>'Business Interruption'!E27+'Equipment Failure'!E27+'Workers Compensation'!E26+'Cargo Loss'!E26</f>
        <v>-71228467.64938949</v>
      </c>
      <c r="R8" s="3">
        <f>'Business Interruption'!F27+'Equipment Failure'!F27+'Workers Compensation'!F26+'Cargo Loss'!F26</f>
        <v>-102642783.9198015</v>
      </c>
      <c r="S8" s="3">
        <f>'Business Interruption'!G27+'Equipment Failure'!G27+'Workers Compensation'!G26+'Cargo Loss'!G26</f>
        <v>-131422081.90438537</v>
      </c>
      <c r="T8" s="3">
        <f>'Business Interruption'!H27+'Equipment Failure'!H27+'Workers Compensation'!H26+'Cargo Loss'!H26</f>
        <v>-161902388.09535164</v>
      </c>
      <c r="U8" s="3">
        <f>'Business Interruption'!I27+'Equipment Failure'!I27+'Workers Compensation'!I26+'Cargo Loss'!I26</f>
        <v>-194154794.6630111</v>
      </c>
      <c r="V8" s="3">
        <f>'Business Interruption'!J27+'Equipment Failure'!J27+'Workers Compensation'!J26+'Cargo Loss'!J26</f>
        <v>-228257706.93515033</v>
      </c>
      <c r="W8" s="3">
        <f>'Business Interruption'!K27+'Equipment Failure'!K27+'Workers Compensation'!K26+'Cargo Loss'!K26</f>
        <v>-264293852.39622694</v>
      </c>
      <c r="X8" s="3">
        <f>'Business Interruption'!L27+'Equipment Failure'!L27+'Workers Compensation'!L26+'Cargo Loss'!L26</f>
        <v>-302348993.23631698</v>
      </c>
      <c r="Z8" t="s">
        <v>27</v>
      </c>
      <c r="AA8" s="3">
        <f>'Business Interruption'!C18+'Equipment Failure'!C18+'Workers Compensation'!C8+'Cargo Loss'!C8</f>
        <v>28599654.953985296</v>
      </c>
      <c r="AB8" s="3">
        <f>'Business Interruption'!D18+'Equipment Failure'!D18+'Workers Compensation'!D8+'Cargo Loss'!D8</f>
        <v>59556709.349813297</v>
      </c>
      <c r="AC8" s="3">
        <f>'Business Interruption'!E18+'Equipment Failure'!E18+'Workers Compensation'!E8+'Cargo Loss'!E8</f>
        <v>92720006.141984165</v>
      </c>
      <c r="AD8" s="3">
        <f>'Business Interruption'!F18+'Equipment Failure'!F18+'Workers Compensation'!F8+'Cargo Loss'!F8</f>
        <v>124550869.09009463</v>
      </c>
      <c r="AE8" s="3">
        <f>'Business Interruption'!G18+'Equipment Failure'!G18+'Workers Compensation'!G8+'Cargo Loss'!G8</f>
        <v>162056330.94740453</v>
      </c>
      <c r="AF8" s="3">
        <f>'Business Interruption'!H18+'Equipment Failure'!H18+'Workers Compensation'!H8+'Cargo Loss'!H8</f>
        <v>201870420.67055282</v>
      </c>
      <c r="AG8" s="3">
        <f>'Business Interruption'!I18+'Equipment Failure'!I18+'Workers Compensation'!I8+'Cargo Loss'!I8</f>
        <v>244090323.16869015</v>
      </c>
      <c r="AH8" s="3">
        <f>'Business Interruption'!J18+'Equipment Failure'!J18+'Workers Compensation'!J8+'Cargo Loss'!J8</f>
        <v>288823558.41105002</v>
      </c>
      <c r="AI8" s="3">
        <f>'Business Interruption'!K18+'Equipment Failure'!K18+'Workers Compensation'!K8+'Cargo Loss'!K8</f>
        <v>336183887.90378791</v>
      </c>
      <c r="AJ8" s="3">
        <f>'Business Interruption'!L18+'Equipment Failure'!L18+'Workers Compensation'!L8+'Cargo Loss'!L8</f>
        <v>386289519.80431038</v>
      </c>
    </row>
    <row r="9" spans="1:36">
      <c r="A9" t="s">
        <v>28</v>
      </c>
      <c r="C9" s="13">
        <f>'Business Interruption'!C9+'Equipment Failure'!C9+'Workers Compensation'!C18+'Cargo Loss'!C18</f>
        <v>147980798.64476815</v>
      </c>
      <c r="D9" s="3">
        <f>'Business Interruption'!D9+'Equipment Failure'!D9+'Workers Compensation'!D18+'Cargo Loss'!D18</f>
        <v>308527475.40103543</v>
      </c>
      <c r="E9" s="13">
        <f>'Business Interruption'!E9+'Equipment Failure'!E9+'Workers Compensation'!E18+'Cargo Loss'!E18</f>
        <v>482679356.6226604</v>
      </c>
      <c r="F9" s="3">
        <f>'Business Interruption'!F9+'Equipment Failure'!F9+'Workers Compensation'!F18+'Cargo Loss'!F18</f>
        <v>224851578.1958147</v>
      </c>
      <c r="G9" s="3">
        <f>'Business Interruption'!G9+'Equipment Failure'!G9+'Workers Compensation'!G18+'Cargo Loss'!G18</f>
        <v>420899043.60617584</v>
      </c>
      <c r="H9" s="3">
        <f>'Business Interruption'!H9+'Equipment Failure'!H9+'Workers Compensation'!H18+'Cargo Loss'!H18</f>
        <v>633068065.68761647</v>
      </c>
      <c r="I9" s="3">
        <f>'Business Interruption'!I9+'Equipment Failure'!I9+'Workers Compensation'!I18+'Cargo Loss'!I18</f>
        <v>862218586.97729778</v>
      </c>
      <c r="J9" s="3">
        <f>'Business Interruption'!J9+'Equipment Failure'!J9+'Workers Compensation'!J18+'Cargo Loss'!J18</f>
        <v>1109223279.2850103</v>
      </c>
      <c r="K9" s="3">
        <f>'Business Interruption'!K9+'Equipment Failure'!K9+'Workers Compensation'!K18+'Cargo Loss'!K18</f>
        <v>1374976431.1824937</v>
      </c>
      <c r="L9" s="13">
        <f>'Business Interruption'!L9+'Equipment Failure'!L9+'Workers Compensation'!L18+'Cargo Loss'!L18</f>
        <v>1660399902.2277458</v>
      </c>
      <c r="N9" t="s">
        <v>28</v>
      </c>
      <c r="O9" s="13">
        <f>'Business Interruption'!C28+'Equipment Failure'!C28+'Workers Compensation'!C27+'Cargo Loss'!C27</f>
        <v>-2514961519.1461759</v>
      </c>
      <c r="P9" s="3">
        <f>'Business Interruption'!D28+'Equipment Failure'!D28+'Workers Compensation'!D27+'Cargo Loss'!D27</f>
        <v>-5191014544.6498785</v>
      </c>
      <c r="Q9" s="13">
        <f>'Business Interruption'!E28+'Equipment Failure'!E28+'Workers Compensation'!E27+'Cargo Loss'!E27</f>
        <v>-8035787968.1296873</v>
      </c>
      <c r="R9" s="3">
        <f>'Business Interruption'!F28+'Equipment Failure'!F28+'Workers Compensation'!F27+'Cargo Loss'!F27</f>
        <v>-11548322980.010368</v>
      </c>
      <c r="S9" s="3">
        <f>'Business Interruption'!G28+'Equipment Failure'!G28+'Workers Compensation'!G27+'Cargo Loss'!G27</f>
        <v>-14762491128.260277</v>
      </c>
      <c r="T9" s="3">
        <f>'Business Interruption'!H28+'Equipment Failure'!H28+'Workers Compensation'!H27+'Cargo Loss'!H27</f>
        <v>-18169016223.979904</v>
      </c>
      <c r="U9" s="3">
        <f>'Business Interruption'!I28+'Equipment Failure'!I28+'Workers Compensation'!I27+'Cargo Loss'!I27</f>
        <v>-21776196398.493156</v>
      </c>
      <c r="V9" s="3">
        <f>'Business Interruption'!J28+'Equipment Failure'!J28+'Workers Compensation'!J27+'Cargo Loss'!J27</f>
        <v>-25592630026.213531</v>
      </c>
      <c r="W9" s="3">
        <f>'Business Interruption'!K28+'Equipment Failure'!K28+'Workers Compensation'!K27+'Cargo Loss'!K27</f>
        <v>-29627233162.29763</v>
      </c>
      <c r="X9" s="13">
        <f>'Business Interruption'!L28+'Equipment Failure'!L28+'Workers Compensation'!L27+'Cargo Loss'!L27</f>
        <v>-33889252962.552856</v>
      </c>
      <c r="Z9" t="s">
        <v>28</v>
      </c>
      <c r="AA9" s="13">
        <f>'Business Interruption'!C19+'Equipment Failure'!C19+'Workers Compensation'!C9+'Cargo Loss'!C9</f>
        <v>3267102936.9851351</v>
      </c>
      <c r="AB9" s="3">
        <f>'Business Interruption'!D19+'Equipment Failure'!D19+'Workers Compensation'!D9+'Cargo Loss'!D9</f>
        <v>6750172453.5033627</v>
      </c>
      <c r="AC9" s="13">
        <f>'Business Interruption'!E19+'Equipment Failure'!E19+'Workers Compensation'!E9+'Cargo Loss'!E9</f>
        <v>10460400656.493042</v>
      </c>
      <c r="AD9" s="3">
        <f>'Business Interruption'!F19+'Equipment Failure'!F19+'Workers Compensation'!F9+'Cargo Loss'!F9</f>
        <v>14013198091.131668</v>
      </c>
      <c r="AE9" s="3">
        <f>'Business Interruption'!G19+'Equipment Failure'!G19+'Workers Compensation'!G9+'Cargo Loss'!G9</f>
        <v>18203601048.033932</v>
      </c>
      <c r="AF9" s="3">
        <f>'Business Interruption'!H19+'Equipment Failure'!H19+'Workers Compensation'!H9+'Cargo Loss'!H9</f>
        <v>22654310362.270855</v>
      </c>
      <c r="AG9" s="3">
        <f>'Business Interruption'!I19+'Equipment Failure'!I19+'Workers Compensation'!I9+'Cargo Loss'!I9</f>
        <v>27376912455.439365</v>
      </c>
      <c r="AH9" s="3">
        <f>'Business Interruption'!J19+'Equipment Failure'!J19+'Workers Compensation'!J9+'Cargo Loss'!J9</f>
        <v>32383373041.456726</v>
      </c>
      <c r="AI9" s="3">
        <f>'Business Interruption'!K19+'Equipment Failure'!K19+'Workers Compensation'!K9+'Cargo Loss'!K9</f>
        <v>37686076849.797531</v>
      </c>
      <c r="AJ9" s="13">
        <f>'Business Interruption'!L19+'Equipment Failure'!L19+'Workers Compensation'!L9+'Cargo Loss'!L9</f>
        <v>43297856272.996849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2ED7-DAA2-4C40-8E81-029EA173FF0F}">
  <dimension ref="A1:L28"/>
  <sheetViews>
    <sheetView workbookViewId="0">
      <selection activeCell="F28" sqref="F28"/>
    </sheetView>
  </sheetViews>
  <sheetFormatPr defaultRowHeight="14.45"/>
  <cols>
    <col min="1" max="1" width="34.140625" bestFit="1" customWidth="1"/>
    <col min="2" max="2" width="40.140625" bestFit="1" customWidth="1"/>
    <col min="3" max="5" width="16" bestFit="1" customWidth="1"/>
    <col min="6" max="12" width="17.7109375" bestFit="1" customWidth="1"/>
    <col min="13" max="13" width="11.42578125" bestFit="1" customWidth="1"/>
  </cols>
  <sheetData>
    <row r="1" spans="1:12">
      <c r="A1" s="1" t="s">
        <v>10</v>
      </c>
    </row>
    <row r="2" spans="1:12">
      <c r="A2" s="2"/>
      <c r="B2" s="2" t="s">
        <v>19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>
      <c r="B3" t="s">
        <v>22</v>
      </c>
      <c r="C3" s="3">
        <v>0</v>
      </c>
      <c r="D3" s="3">
        <f>C9</f>
        <v>167518.29081493849</v>
      </c>
      <c r="E3" s="3">
        <f t="shared" ref="E3:L3" si="0">D9</f>
        <v>345726.93448905495</v>
      </c>
      <c r="F3" s="3">
        <f t="shared" si="0"/>
        <v>535307.21796287841</v>
      </c>
      <c r="G3" s="3">
        <f t="shared" si="0"/>
        <v>-428976.61764672591</v>
      </c>
      <c r="H3" s="3">
        <f t="shared" si="0"/>
        <v>-235832.59295557035</v>
      </c>
      <c r="I3" s="3">
        <f t="shared" si="0"/>
        <v>-29886.656324073054</v>
      </c>
      <c r="J3" s="3">
        <f t="shared" si="0"/>
        <v>189466.89748854519</v>
      </c>
      <c r="K3" s="3">
        <f t="shared" si="0"/>
        <v>422843.62474876689</v>
      </c>
      <c r="L3" s="3">
        <f t="shared" si="0"/>
        <v>670874.51363049285</v>
      </c>
    </row>
    <row r="4" spans="1:12">
      <c r="B4" t="s">
        <v>23</v>
      </c>
      <c r="C4" s="4">
        <v>6290203</v>
      </c>
      <c r="D4" s="3">
        <f>$C4*_xlfn.XLOOKUP(D2,'Interest, etc. BI and EF'!$A$2:$A$11,'Interest, etc. BI and EF'!$I$2:$I$11)</f>
        <v>6592754.9446077254</v>
      </c>
      <c r="E4" s="3">
        <f>$C4*_xlfn.XLOOKUP(E2,'Interest, etc. BI and EF'!$A$2:$A$11,'Interest, etc. BI and EF'!$I$2:$I$11)</f>
        <v>6908094.7532939482</v>
      </c>
      <c r="F4" s="3">
        <f>$C4*_xlfn.XLOOKUP(F2,'Interest, etc. BI and EF'!$A$2:$A$11,'Interest, etc. BI and EF'!$I$2:$I$11)</f>
        <v>7236069.2973394571</v>
      </c>
      <c r="G4" s="3">
        <f>$C4*_xlfn.XLOOKUP(G2,'Interest, etc. BI and EF'!$A$2:$A$11,'Interest, etc. BI and EF'!$I$2:$I$11)</f>
        <v>7576738.4690199438</v>
      </c>
      <c r="H4" s="3">
        <f>$C4*_xlfn.XLOOKUP(H2,'Interest, etc. BI and EF'!$A$2:$A$11,'Interest, etc. BI and EF'!$I$2:$I$11)</f>
        <v>7930299.2649468808</v>
      </c>
      <c r="I4" s="3">
        <f>$C4*_xlfn.XLOOKUP(I2,'Interest, etc. BI and EF'!$A$2:$A$11,'Interest, etc. BI and EF'!$I$2:$I$11)</f>
        <v>8297038.807863242</v>
      </c>
      <c r="J4" s="3">
        <f>$C4*_xlfn.XLOOKUP(J2,'Interest, etc. BI and EF'!$A$2:$A$11,'Interest, etc. BI and EF'!$I$2:$I$11)</f>
        <v>8677305.3376705237</v>
      </c>
      <c r="K4" s="3">
        <f>$C4*_xlfn.XLOOKUP(K2,'Interest, etc. BI and EF'!$A$2:$A$11,'Interest, etc. BI and EF'!$I$2:$I$11)</f>
        <v>9071490.3091375679</v>
      </c>
      <c r="L4" s="3">
        <f>$C4*_xlfn.XLOOKUP(L2,'Interest, etc. BI and EF'!$A$2:$A$11,'Interest, etc. BI and EF'!$I$2:$I$11)</f>
        <v>9480017.4543374535</v>
      </c>
    </row>
    <row r="5" spans="1:12">
      <c r="A5" t="s">
        <v>29</v>
      </c>
      <c r="B5" t="s">
        <v>30</v>
      </c>
      <c r="C5" s="3">
        <f>(C3+C4)*((1+_xlfn.XLOOKUP(C$2,'Interest, etc. BI and EF'!$A$2:$A$11,'Interest, etc. BI and EF'!$C$2:$C$11))^(1/2)-1)</f>
        <v>55549.62268795156</v>
      </c>
      <c r="D5" s="3">
        <f>(D3+D4)*((1+_xlfn.XLOOKUP(D$2,'Interest, etc. BI and EF'!$A$2:$A$11,'Interest, etc. BI and EF'!$C$2:$C$11))^(1/2)-1)</f>
        <v>60176.767520868314</v>
      </c>
      <c r="E5" s="3">
        <f>(E3+E4)*((1+_xlfn.XLOOKUP(E$2,'Interest, etc. BI and EF'!$A$2:$A$11,'Interest, etc. BI and EF'!$C$2:$C$11))^(1/2)-1)</f>
        <v>64872.213383745009</v>
      </c>
      <c r="F5" s="3">
        <f>(F3+F4)*((1+_xlfn.XLOOKUP(F$2,'Interest, etc. BI and EF'!$A$2:$A$11,'Interest, etc. BI and EF'!$C$2:$C$11))^(1/2)-1)</f>
        <v>69692.294975361539</v>
      </c>
      <c r="G5" s="3">
        <f>(G3+G4)*((1+_xlfn.XLOOKUP(G$2,'Interest, etc. BI and EF'!$A$2:$A$11,'Interest, etc. BI and EF'!$C$2:$C$11))^(1/2)-1)</f>
        <v>64204.040079913284</v>
      </c>
      <c r="H5" s="3">
        <f>(H3+H4)*((1+_xlfn.XLOOKUP(H$2,'Interest, etc. BI and EF'!$A$2:$A$11,'Interest, etc. BI and EF'!$C$2:$C$11))^(1/2)-1)</f>
        <v>69181.132560674538</v>
      </c>
      <c r="I5" s="3">
        <f>(I3+I4)*((1+_xlfn.XLOOKUP(I$2,'Interest, etc. BI and EF'!$A$2:$A$11,'Interest, etc. BI and EF'!$C$2:$C$11))^(1/2)-1)</f>
        <v>74372.353547177903</v>
      </c>
      <c r="J5" s="3">
        <f>(J3+J4)*((1+_xlfn.XLOOKUP(J$2,'Interest, etc. BI and EF'!$A$2:$A$11,'Interest, etc. BI and EF'!$C$2:$C$11))^(1/2)-1)</f>
        <v>79793.383918094405</v>
      </c>
      <c r="K5" s="3">
        <f>(K3+K4)*((1+_xlfn.XLOOKUP(K$2,'Interest, etc. BI and EF'!$A$2:$A$11,'Interest, etc. BI and EF'!$C$2:$C$11))^(1/2)-1)</f>
        <v>85457.864583634888</v>
      </c>
      <c r="L5" s="3">
        <f>(L3+L4)*((1+_xlfn.XLOOKUP(L$2,'Interest, etc. BI and EF'!$A$2:$A$11,'Interest, etc. BI and EF'!$C$2:$C$11))^(1/2)-1)</f>
        <v>91378.233902402106</v>
      </c>
    </row>
    <row r="6" spans="1:12">
      <c r="A6" t="s">
        <v>31</v>
      </c>
      <c r="B6" t="s">
        <v>25</v>
      </c>
      <c r="C6" s="4">
        <f>6105802*_xlfn.XLOOKUP(C12,'Interest, etc. BI and EF'!$A$2:$A$11,'Interest, etc. BI and EF'!$L$2:$L$11)</f>
        <v>6179700.7580641052</v>
      </c>
      <c r="D6" s="5">
        <f>$C6*_xlfn.XLOOKUP(D2,'Interest, etc. BI and EF'!$A$2:$A$11,'Interest, etc. BI and EF'!$L$2:$L$11)/_xlfn.XLOOKUP($C2,'Interest, etc. BI and EF'!$A$2:$A$11,'Interest, etc. BI and EF'!$L$2:$L$11)</f>
        <v>6477773.4140113639</v>
      </c>
      <c r="E6" s="5">
        <f>$C6*_xlfn.XLOOKUP(E2,'Interest, etc. BI and EF'!$A$2:$A$11,'Interest, etc. BI and EF'!$L$2:$L$11)/_xlfn.XLOOKUP($C2,'Interest, etc. BI and EF'!$A$2:$A$11,'Interest, etc. BI and EF'!$L$2:$L$11)</f>
        <v>6788131.5959626902</v>
      </c>
      <c r="F6" s="4">
        <f>7012533*_xlfn.XLOOKUP(F2,'Interest, etc. BI and EF'!$A$2:$A$11,'Interest, etc. BI and EF'!$M$2:$M$11)</f>
        <v>8266232.6358551355</v>
      </c>
      <c r="G6" s="5">
        <f>$C6*_xlfn.XLOOKUP(G2,'Interest, etc. BI and EF'!$A$2:$A$11,'Interest, etc. BI and EF'!$L$2:$L$11)/_xlfn.XLOOKUP($C2,'Interest, etc. BI and EF'!$A$2:$A$11,'Interest, etc. BI and EF'!$L$2:$L$11)</f>
        <v>7445699.0006509908</v>
      </c>
      <c r="H6" s="5">
        <f>$C6*_xlfn.XLOOKUP(H2,'Interest, etc. BI and EF'!$A$2:$A$11,'Interest, etc. BI and EF'!$L$2:$L$11)/_xlfn.XLOOKUP($C2,'Interest, etc. BI and EF'!$A$2:$A$11,'Interest, etc. BI and EF'!$L$2:$L$11)</f>
        <v>7793268.1437033825</v>
      </c>
      <c r="I6" s="5">
        <f>$C6*_xlfn.XLOOKUP(I2,'Interest, etc. BI and EF'!$A$2:$A$11,'Interest, etc. BI and EF'!$L$2:$L$11)/_xlfn.XLOOKUP($C2,'Interest, etc. BI and EF'!$A$2:$A$11,'Interest, etc. BI and EF'!$L$2:$L$11)</f>
        <v>8153746.8790345658</v>
      </c>
      <c r="J6" s="5">
        <f>$C6*_xlfn.XLOOKUP(J2,'Interest, etc. BI and EF'!$A$2:$A$11,'Interest, etc. BI and EF'!$L$2:$L$11)/_xlfn.XLOOKUP($C2,'Interest, etc. BI and EF'!$A$2:$A$11,'Interest, etc. BI and EF'!$L$2:$L$11)</f>
        <v>8527493.2877077181</v>
      </c>
      <c r="K6" s="5">
        <f>$C6*_xlfn.XLOOKUP(K2,'Interest, etc. BI and EF'!$A$2:$A$11,'Interest, etc. BI and EF'!$L$2:$L$11)/_xlfn.XLOOKUP($C2,'Interest, etc. BI and EF'!$A$2:$A$11,'Interest, etc. BI and EF'!$L$2:$L$11)</f>
        <v>8914901.9142076857</v>
      </c>
      <c r="L6" s="5">
        <f>$C6*_xlfn.XLOOKUP(L2,'Interest, etc. BI and EF'!$A$2:$A$11,'Interest, etc. BI and EF'!$L$2:$L$11)/_xlfn.XLOOKUP($C2,'Interest, etc. BI and EF'!$A$2:$A$11,'Interest, etc. BI and EF'!$L$2:$L$11)</f>
        <v>9316395.2712514717</v>
      </c>
    </row>
    <row r="7" spans="1:12">
      <c r="B7" t="s">
        <v>26</v>
      </c>
      <c r="C7" s="3">
        <f>C3+C4+C5-C6</f>
        <v>166051.86462384649</v>
      </c>
      <c r="D7" s="3">
        <f t="shared" ref="D7:L7" si="1">D3+D4+D5-D6</f>
        <v>342676.58893216774</v>
      </c>
      <c r="E7" s="3">
        <f t="shared" si="1"/>
        <v>530562.30520405807</v>
      </c>
      <c r="F7" s="3">
        <f t="shared" si="1"/>
        <v>-425163.82557743788</v>
      </c>
      <c r="G7" s="3">
        <f t="shared" si="1"/>
        <v>-233733.10919785965</v>
      </c>
      <c r="H7" s="3">
        <f t="shared" si="1"/>
        <v>-29620.339151398279</v>
      </c>
      <c r="I7" s="3">
        <f t="shared" si="1"/>
        <v>187777.6260517817</v>
      </c>
      <c r="J7" s="3">
        <f t="shared" si="1"/>
        <v>419072.33136944473</v>
      </c>
      <c r="K7" s="3">
        <f t="shared" si="1"/>
        <v>664889.88426228426</v>
      </c>
      <c r="L7" s="3">
        <f t="shared" si="1"/>
        <v>925874.93061887659</v>
      </c>
    </row>
    <row r="8" spans="1:12">
      <c r="B8" t="s">
        <v>27</v>
      </c>
      <c r="C8" s="3">
        <f>C7*((1+_xlfn.XLOOKUP(C$2,'Interest, etc. BI and EF'!$A$2:$A$11,'Interest, etc. BI and EF'!$C$2:$C$11))^(1/2)-1)</f>
        <v>1466.426191092002</v>
      </c>
      <c r="D8" s="3">
        <f>D7*((1+_xlfn.XLOOKUP(D$2,'Interest, etc. BI and EF'!$A$2:$A$11,'Interest, etc. BI and EF'!$C$2:$C$11))^(1/2)-1)</f>
        <v>3050.345556887235</v>
      </c>
      <c r="E8" s="3">
        <f>E7*((1+_xlfn.XLOOKUP(E$2,'Interest, etc. BI and EF'!$A$2:$A$11,'Interest, etc. BI and EF'!$C$2:$C$11))^(1/2)-1)</f>
        <v>4744.9127588203446</v>
      </c>
      <c r="F8" s="3">
        <f>F7*((1+_xlfn.XLOOKUP(F$2,'Interest, etc. BI and EF'!$A$2:$A$11,'Interest, etc. BI and EF'!$C$2:$C$11))^(1/2)-1)</f>
        <v>-3812.7920692880261</v>
      </c>
      <c r="G8" s="3">
        <f>G7*((1+_xlfn.XLOOKUP(G$2,'Interest, etc. BI and EF'!$A$2:$A$11,'Interest, etc. BI and EF'!$C$2:$C$11))^(1/2)-1)</f>
        <v>-2099.4837577106855</v>
      </c>
      <c r="H8" s="3">
        <f>H7*((1+_xlfn.XLOOKUP(H$2,'Interest, etc. BI and EF'!$A$2:$A$11,'Interest, etc. BI and EF'!$C$2:$C$11))^(1/2)-1)</f>
        <v>-266.31717267477649</v>
      </c>
      <c r="I8" s="3">
        <f>I7*((1+_xlfn.XLOOKUP(I$2,'Interest, etc. BI and EF'!$A$2:$A$11,'Interest, etc. BI and EF'!$C$2:$C$11))^(1/2)-1)</f>
        <v>1689.2714367634806</v>
      </c>
      <c r="J8" s="3">
        <f>J7*((1+_xlfn.XLOOKUP(J$2,'Interest, etc. BI and EF'!$A$2:$A$11,'Interest, etc. BI and EF'!$C$2:$C$11))^(1/2)-1)</f>
        <v>3771.2933793221637</v>
      </c>
      <c r="K8" s="3">
        <f>K7*((1+_xlfn.XLOOKUP(K$2,'Interest, etc. BI and EF'!$A$2:$A$11,'Interest, etc. BI and EF'!$C$2:$C$11))^(1/2)-1)</f>
        <v>5984.6293682085279</v>
      </c>
      <c r="L8" s="3">
        <f>L7*((1+_xlfn.XLOOKUP(L$2,'Interest, etc. BI and EF'!$A$2:$A$11,'Interest, etc. BI and EF'!$C$2:$C$11))^(1/2)-1)</f>
        <v>8334.7174062575141</v>
      </c>
    </row>
    <row r="9" spans="1:12">
      <c r="B9" t="s">
        <v>28</v>
      </c>
      <c r="C9" s="13">
        <f>C7+C8</f>
        <v>167518.29081493849</v>
      </c>
      <c r="D9" s="3">
        <f t="shared" ref="D9:L9" si="2">D7+D8</f>
        <v>345726.93448905495</v>
      </c>
      <c r="E9" s="13">
        <f t="shared" si="2"/>
        <v>535307.21796287841</v>
      </c>
      <c r="F9" s="3">
        <f t="shared" si="2"/>
        <v>-428976.61764672591</v>
      </c>
      <c r="G9" s="3">
        <f t="shared" si="2"/>
        <v>-235832.59295557035</v>
      </c>
      <c r="H9" s="3">
        <f t="shared" si="2"/>
        <v>-29886.656324073054</v>
      </c>
      <c r="I9" s="3">
        <f t="shared" si="2"/>
        <v>189466.89748854519</v>
      </c>
      <c r="J9" s="3">
        <f t="shared" si="2"/>
        <v>422843.62474876689</v>
      </c>
      <c r="K9" s="3">
        <f t="shared" si="2"/>
        <v>670874.51363049285</v>
      </c>
      <c r="L9" s="13">
        <f t="shared" si="2"/>
        <v>934209.64802513411</v>
      </c>
    </row>
    <row r="12" spans="1:12">
      <c r="A12" s="2"/>
      <c r="B12" s="2" t="s">
        <v>32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</row>
    <row r="13" spans="1:12">
      <c r="B13" t="s">
        <v>22</v>
      </c>
      <c r="C13" s="3">
        <v>0</v>
      </c>
      <c r="D13" s="3">
        <f>C19</f>
        <v>6273116.0103483712</v>
      </c>
      <c r="E13" s="3">
        <f t="shared" ref="E13:L13" si="3">D19</f>
        <v>12961049.424577901</v>
      </c>
      <c r="F13" s="3">
        <f t="shared" si="3"/>
        <v>20084758.329523131</v>
      </c>
      <c r="G13" s="3">
        <f t="shared" si="3"/>
        <v>27150428.646766201</v>
      </c>
      <c r="H13" s="3">
        <f t="shared" si="3"/>
        <v>35198774.188377209</v>
      </c>
      <c r="I13" s="3">
        <f t="shared" si="3"/>
        <v>43745807.967909515</v>
      </c>
      <c r="J13" s="3">
        <f t="shared" si="3"/>
        <v>52813617.635014512</v>
      </c>
      <c r="K13" s="3">
        <f t="shared" si="3"/>
        <v>62425041.18738018</v>
      </c>
      <c r="L13" s="3">
        <f t="shared" si="3"/>
        <v>72603733.14708738</v>
      </c>
    </row>
    <row r="14" spans="1:12">
      <c r="B14" t="s">
        <v>23</v>
      </c>
      <c r="C14" s="4">
        <v>6290203</v>
      </c>
      <c r="D14" s="3">
        <f>$C14*_xlfn.XLOOKUP(D12,'Interest, etc. BI and EF'!$A$2:$A$11,'Interest, etc. BI and EF'!$I$2:$I$11)</f>
        <v>6592754.9446077254</v>
      </c>
      <c r="E14" s="3">
        <f>$C14*_xlfn.XLOOKUP(E12,'Interest, etc. BI and EF'!$A$2:$A$11,'Interest, etc. BI and EF'!$I$2:$I$11)</f>
        <v>6908094.7532939482</v>
      </c>
      <c r="F14" s="3">
        <f>$C14*_xlfn.XLOOKUP(F12,'Interest, etc. BI and EF'!$A$2:$A$11,'Interest, etc. BI and EF'!$I$2:$I$11)</f>
        <v>7236069.2973394571</v>
      </c>
      <c r="G14" s="3">
        <f>$C14*_xlfn.XLOOKUP(G12,'Interest, etc. BI and EF'!$A$2:$A$11,'Interest, etc. BI and EF'!$I$2:$I$11)</f>
        <v>7576738.4690199438</v>
      </c>
      <c r="H14" s="3">
        <f>$C14*_xlfn.XLOOKUP(H12,'Interest, etc. BI and EF'!$A$2:$A$11,'Interest, etc. BI and EF'!$I$2:$I$11)</f>
        <v>7930299.2649468808</v>
      </c>
      <c r="I14" s="3">
        <f>$C14*_xlfn.XLOOKUP(I12,'Interest, etc. BI and EF'!$A$2:$A$11,'Interest, etc. BI and EF'!$I$2:$I$11)</f>
        <v>8297038.807863242</v>
      </c>
      <c r="J14" s="3">
        <f>$C14*_xlfn.XLOOKUP(J12,'Interest, etc. BI and EF'!$A$2:$A$11,'Interest, etc. BI and EF'!$I$2:$I$11)</f>
        <v>8677305.3376705237</v>
      </c>
      <c r="K14" s="3">
        <f>$C14*_xlfn.XLOOKUP(K12,'Interest, etc. BI and EF'!$A$2:$A$11,'Interest, etc. BI and EF'!$I$2:$I$11)</f>
        <v>9071490.3091375679</v>
      </c>
      <c r="L14" s="3">
        <f>$C14*_xlfn.XLOOKUP(L12,'Interest, etc. BI and EF'!$A$2:$A$11,'Interest, etc. BI and EF'!$I$2:$I$11)</f>
        <v>9480017.4543374535</v>
      </c>
    </row>
    <row r="15" spans="1:12">
      <c r="A15" t="s">
        <v>29</v>
      </c>
      <c r="B15" t="s">
        <v>30</v>
      </c>
      <c r="C15" s="3">
        <f>(C13+C14)*((1+_xlfn.XLOOKUP(C$12,'Interest, etc. BI and EF'!$A$2:$A$11,'Interest, etc. BI and EF'!$C$2:$C$11))^(1/2)-1)</f>
        <v>55549.62268795156</v>
      </c>
      <c r="D15" s="3">
        <f>(D13+D14)*((1+_xlfn.XLOOKUP(D$12,'Interest, etc. BI and EF'!$A$2:$A$11,'Interest, etc. BI and EF'!$C$2:$C$11))^(1/2)-1)</f>
        <v>114525.92202236321</v>
      </c>
      <c r="E15" s="3">
        <f>(E13+E14)*((1+_xlfn.XLOOKUP(E$12,'Interest, etc. BI and EF'!$A$2:$A$11,'Interest, etc. BI and EF'!$C$2:$C$11))^(1/2)-1)</f>
        <v>177693.27898288093</v>
      </c>
      <c r="F15" s="3">
        <f>(F13+F14)*((1+_xlfn.XLOOKUP(F$12,'Interest, etc. BI and EF'!$A$2:$A$11,'Interest, etc. BI and EF'!$C$2:$C$11))^(1/2)-1)</f>
        <v>245008.22655974989</v>
      </c>
      <c r="G15" s="3">
        <f>(G13+G14)*((1+_xlfn.XLOOKUP(G$12,'Interest, etc. BI and EF'!$A$2:$A$11,'Interest, etc. BI and EF'!$C$2:$C$11))^(1/2)-1)</f>
        <v>311933.22829235392</v>
      </c>
      <c r="H15" s="3">
        <f>(H13+H14)*((1+_xlfn.XLOOKUP(H$12,'Interest, etc. BI and EF'!$A$2:$A$11,'Interest, etc. BI and EF'!$C$2:$C$11))^(1/2)-1)</f>
        <v>387774.5235617875</v>
      </c>
      <c r="I15" s="3">
        <f>(I13+I14)*((1+_xlfn.XLOOKUP(I$12,'Interest, etc. BI and EF'!$A$2:$A$11,'Interest, etc. BI and EF'!$C$2:$C$11))^(1/2)-1)</f>
        <v>468184.07706319576</v>
      </c>
      <c r="J15" s="3">
        <f>(J13+J14)*((1+_xlfn.XLOOKUP(J$12,'Interest, etc. BI and EF'!$A$2:$A$11,'Interest, etc. BI and EF'!$C$2:$C$11))^(1/2)-1)</f>
        <v>553365.83529027633</v>
      </c>
      <c r="K15" s="3">
        <f>(K13+K14)*((1+_xlfn.XLOOKUP(K$12,'Interest, etc. BI and EF'!$A$2:$A$11,'Interest, etc. BI and EF'!$C$2:$C$11))^(1/2)-1)</f>
        <v>643535.49700015725</v>
      </c>
      <c r="L15" s="3">
        <f>(L13+L14)*((1+_xlfn.XLOOKUP(L$12,'Interest, etc. BI and EF'!$A$2:$A$11,'Interest, etc. BI and EF'!$C$2:$C$11))^(1/2)-1)</f>
        <v>738917.14991278318</v>
      </c>
    </row>
    <row r="16" spans="1:12">
      <c r="A16" t="s">
        <v>33</v>
      </c>
      <c r="B16" t="s">
        <v>25</v>
      </c>
      <c r="C16" s="4">
        <f>126025.1*_xlfn.XLOOKUP(C12,'Interest, etc. BI and EF'!$A$2:$A$11,'Interest, etc. BI and EF'!$L$2:$L$11)</f>
        <v>127550.38666584744</v>
      </c>
      <c r="D16" s="5">
        <f>$C16*_xlfn.XLOOKUP(D12,'Interest, etc. BI and EF'!$A$2:$A$11,'Interest, etc. BI and EF'!$L$2:$L$11)/_xlfn.XLOOKUP($C12,'Interest, etc. BI and EF'!$A$2:$A$11,'Interest, etc. BI and EF'!$L$2:$L$11)</f>
        <v>133702.67202869066</v>
      </c>
      <c r="E16" s="5">
        <f>$C16*_xlfn.XLOOKUP(E12,'Interest, etc. BI and EF'!$A$2:$A$11,'Interest, etc. BI and EF'!$L$2:$L$11)/_xlfn.XLOOKUP($C12,'Interest, etc. BI and EF'!$A$2:$A$11,'Interest, etc. BI and EF'!$L$2:$L$11)</f>
        <v>140108.53335800237</v>
      </c>
      <c r="F16" s="4">
        <f>557121.2*_xlfn.XLOOKUP(F12,'Interest, etc. BI and EF'!$A$2:$A$11,'Interest, etc. BI and EF'!$M$2:$M$11)</f>
        <v>656723.24758639652</v>
      </c>
      <c r="G16" s="5">
        <f>$C16*_xlfn.XLOOKUP(G12,'Interest, etc. BI and EF'!$A$2:$A$11,'Interest, etc. BI and EF'!$L$2:$L$11)/_xlfn.XLOOKUP($C12,'Interest, etc. BI and EF'!$A$2:$A$11,'Interest, etc. BI and EF'!$L$2:$L$11)</f>
        <v>153680.86962645384</v>
      </c>
      <c r="H16" s="5">
        <f>$C16*_xlfn.XLOOKUP(H12,'Interest, etc. BI and EF'!$A$2:$A$11,'Interest, etc. BI and EF'!$L$2:$L$11)/_xlfn.XLOOKUP($C12,'Interest, etc. BI and EF'!$A$2:$A$11,'Interest, etc. BI and EF'!$L$2:$L$11)</f>
        <v>160854.77340028927</v>
      </c>
      <c r="I16" s="5">
        <f>$C16*_xlfn.XLOOKUP(I12,'Interest, etc. BI and EF'!$A$2:$A$11,'Interest, etc. BI and EF'!$L$2:$L$11)/_xlfn.XLOOKUP($C12,'Interest, etc. BI and EF'!$A$2:$A$11,'Interest, etc. BI and EF'!$L$2:$L$11)</f>
        <v>168295.13400615007</v>
      </c>
      <c r="J16" s="5">
        <f>$C16*_xlfn.XLOOKUP(J12,'Interest, etc. BI and EF'!$A$2:$A$11,'Interest, etc. BI and EF'!$L$2:$L$11)/_xlfn.XLOOKUP($C12,'Interest, etc. BI and EF'!$A$2:$A$11,'Interest, etc. BI and EF'!$L$2:$L$11)</f>
        <v>176009.34231615992</v>
      </c>
      <c r="K16" s="5">
        <f>$C16*_xlfn.XLOOKUP(K12,'Interest, etc. BI and EF'!$A$2:$A$11,'Interest, etc. BI and EF'!$L$2:$L$11)/_xlfn.XLOOKUP($C12,'Interest, etc. BI and EF'!$A$2:$A$11,'Interest, etc. BI and EF'!$L$2:$L$11)</f>
        <v>184005.54181550842</v>
      </c>
      <c r="L16" s="5">
        <f>$C16*_xlfn.XLOOKUP(L12,'Interest, etc. BI and EF'!$A$2:$A$11,'Interest, etc. BI and EF'!$L$2:$L$11)/_xlfn.XLOOKUP($C12,'Interest, etc. BI and EF'!$A$2:$A$11,'Interest, etc. BI and EF'!$L$2:$L$11)</f>
        <v>192292.45325986558</v>
      </c>
    </row>
    <row r="17" spans="1:12">
      <c r="B17" t="s">
        <v>26</v>
      </c>
      <c r="C17" s="3">
        <f>C13+C14+C15-C16</f>
        <v>6218202.2360221045</v>
      </c>
      <c r="D17" s="3">
        <f t="shared" ref="D17:L17" si="4">D13+D14+D15-D16</f>
        <v>12846694.204949768</v>
      </c>
      <c r="E17" s="3">
        <f t="shared" si="4"/>
        <v>19906728.923496727</v>
      </c>
      <c r="F17" s="3">
        <f t="shared" si="4"/>
        <v>26909112.605835944</v>
      </c>
      <c r="G17" s="3">
        <f t="shared" si="4"/>
        <v>34885419.474452041</v>
      </c>
      <c r="H17" s="3">
        <f t="shared" si="4"/>
        <v>43355993.203485586</v>
      </c>
      <c r="I17" s="3">
        <f t="shared" si="4"/>
        <v>52342735.718829803</v>
      </c>
      <c r="J17" s="3">
        <f t="shared" si="4"/>
        <v>61868279.465659156</v>
      </c>
      <c r="K17" s="3">
        <f t="shared" si="4"/>
        <v>71956061.451702401</v>
      </c>
      <c r="L17" s="3">
        <f t="shared" si="4"/>
        <v>82630375.298077747</v>
      </c>
    </row>
    <row r="18" spans="1:12">
      <c r="B18" t="s">
        <v>27</v>
      </c>
      <c r="C18" s="3">
        <f>C17*((1+_xlfn.XLOOKUP(C$12,'Interest, etc. BI and EF'!$A$2:$A$11,'Interest, etc. BI and EF'!$C$2:$C$11))^(1/2)-1)</f>
        <v>54913.774326266517</v>
      </c>
      <c r="D18" s="3">
        <f>D17*((1+_xlfn.XLOOKUP(D$12,'Interest, etc. BI and EF'!$A$2:$A$11,'Interest, etc. BI and EF'!$C$2:$C$11))^(1/2)-1)</f>
        <v>114355.21962813307</v>
      </c>
      <c r="E18" s="3">
        <f>E17*((1+_xlfn.XLOOKUP(E$12,'Interest, etc. BI and EF'!$A$2:$A$11,'Interest, etc. BI and EF'!$C$2:$C$11))^(1/2)-1)</f>
        <v>178029.40602640301</v>
      </c>
      <c r="F18" s="3">
        <f>F17*((1+_xlfn.XLOOKUP(F$12,'Interest, etc. BI and EF'!$A$2:$A$11,'Interest, etc. BI and EF'!$C$2:$C$11))^(1/2)-1)</f>
        <v>241316.04093025724</v>
      </c>
      <c r="G18" s="3">
        <f>G17*((1+_xlfn.XLOOKUP(G$12,'Interest, etc. BI and EF'!$A$2:$A$11,'Interest, etc. BI and EF'!$C$2:$C$11))^(1/2)-1)</f>
        <v>313354.71392517112</v>
      </c>
      <c r="H18" s="3">
        <f>H17*((1+_xlfn.XLOOKUP(H$12,'Interest, etc. BI and EF'!$A$2:$A$11,'Interest, etc. BI and EF'!$C$2:$C$11))^(1/2)-1)</f>
        <v>389814.76442392578</v>
      </c>
      <c r="I18" s="3">
        <f>I17*((1+_xlfn.XLOOKUP(I$12,'Interest, etc. BI and EF'!$A$2:$A$11,'Interest, etc. BI and EF'!$C$2:$C$11))^(1/2)-1)</f>
        <v>470881.91618470941</v>
      </c>
      <c r="J18" s="3">
        <f>J17*((1+_xlfn.XLOOKUP(J$12,'Interest, etc. BI and EF'!$A$2:$A$11,'Interest, etc. BI and EF'!$C$2:$C$11))^(1/2)-1)</f>
        <v>556761.72172101971</v>
      </c>
      <c r="K18" s="3">
        <f>K17*((1+_xlfn.XLOOKUP(K$12,'Interest, etc. BI and EF'!$A$2:$A$11,'Interest, etc. BI and EF'!$C$2:$C$11))^(1/2)-1)</f>
        <v>647671.69538497843</v>
      </c>
      <c r="L18" s="3">
        <f>L17*((1+_xlfn.XLOOKUP(L$12,'Interest, etc. BI and EF'!$A$2:$A$11,'Interest, etc. BI and EF'!$C$2:$C$11))^(1/2)-1)</f>
        <v>743837.86028436443</v>
      </c>
    </row>
    <row r="19" spans="1:12">
      <c r="B19" t="s">
        <v>28</v>
      </c>
      <c r="C19" s="13">
        <f>C17+C18</f>
        <v>6273116.0103483712</v>
      </c>
      <c r="D19" s="3">
        <f t="shared" ref="D19:L19" si="5">D17+D18</f>
        <v>12961049.424577901</v>
      </c>
      <c r="E19" s="13">
        <f t="shared" si="5"/>
        <v>20084758.329523131</v>
      </c>
      <c r="F19" s="3">
        <f t="shared" si="5"/>
        <v>27150428.646766201</v>
      </c>
      <c r="G19" s="3">
        <f t="shared" si="5"/>
        <v>35198774.188377209</v>
      </c>
      <c r="H19" s="3">
        <f t="shared" si="5"/>
        <v>43745807.967909515</v>
      </c>
      <c r="I19" s="3">
        <f t="shared" si="5"/>
        <v>52813617.635014512</v>
      </c>
      <c r="J19" s="3">
        <f t="shared" si="5"/>
        <v>62425041.18738018</v>
      </c>
      <c r="K19" s="3">
        <f t="shared" si="5"/>
        <v>72603733.14708738</v>
      </c>
      <c r="L19" s="13">
        <f t="shared" si="5"/>
        <v>83374213.158362105</v>
      </c>
    </row>
    <row r="21" spans="1:12">
      <c r="A21" s="2"/>
      <c r="B21" s="2" t="s">
        <v>34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v>7</v>
      </c>
      <c r="J21">
        <v>8</v>
      </c>
      <c r="K21">
        <v>9</v>
      </c>
      <c r="L21">
        <v>10</v>
      </c>
    </row>
    <row r="22" spans="1:12">
      <c r="B22" t="s">
        <v>22</v>
      </c>
      <c r="C22" s="3">
        <v>0</v>
      </c>
      <c r="D22" s="3">
        <f>C28</f>
        <v>-8502911.1790936962</v>
      </c>
      <c r="E22" s="3">
        <f t="shared" ref="E22:L22" si="6">D28</f>
        <v>-17569024.235659432</v>
      </c>
      <c r="F22" s="3">
        <f t="shared" si="6"/>
        <v>-27226452.535046667</v>
      </c>
      <c r="G22" s="3">
        <f t="shared" si="6"/>
        <v>-39659260.690865241</v>
      </c>
      <c r="H22" s="3">
        <f t="shared" si="6"/>
        <v>-50622300.680908412</v>
      </c>
      <c r="I22" s="3">
        <f t="shared" si="6"/>
        <v>-62262558.03796389</v>
      </c>
      <c r="J22" s="3">
        <f t="shared" si="6"/>
        <v>-74609933.074494407</v>
      </c>
      <c r="K22" s="3">
        <f t="shared" si="6"/>
        <v>-87695367.990561575</v>
      </c>
      <c r="L22" s="3">
        <f t="shared" si="6"/>
        <v>-101550927.27683203</v>
      </c>
    </row>
    <row r="23" spans="1:12">
      <c r="B23" t="s">
        <v>23</v>
      </c>
      <c r="C23" s="4">
        <v>6290203</v>
      </c>
      <c r="D23" s="3">
        <f>$C23*_xlfn.XLOOKUP(D21,'Interest, etc. BI and EF'!$A$2:$A$11,'Interest, etc. BI and EF'!$I$2:$I$11)</f>
        <v>6592754.9446077254</v>
      </c>
      <c r="E23" s="3">
        <f>$C23*_xlfn.XLOOKUP(E21,'Interest, etc. BI and EF'!$A$2:$A$11,'Interest, etc. BI and EF'!$I$2:$I$11)</f>
        <v>6908094.7532939482</v>
      </c>
      <c r="F23" s="3">
        <f>$C23*_xlfn.XLOOKUP(F21,'Interest, etc. BI and EF'!$A$2:$A$11,'Interest, etc. BI and EF'!$I$2:$I$11)</f>
        <v>7236069.2973394571</v>
      </c>
      <c r="G23" s="3">
        <f>$C23*_xlfn.XLOOKUP(G21,'Interest, etc. BI and EF'!$A$2:$A$11,'Interest, etc. BI and EF'!$I$2:$I$11)</f>
        <v>7576738.4690199438</v>
      </c>
      <c r="H23" s="3">
        <f>$C23*_xlfn.XLOOKUP(H21,'Interest, etc. BI and EF'!$A$2:$A$11,'Interest, etc. BI and EF'!$I$2:$I$11)</f>
        <v>7930299.2649468808</v>
      </c>
      <c r="I23" s="3">
        <f>$C23*_xlfn.XLOOKUP(I21,'Interest, etc. BI and EF'!$A$2:$A$11,'Interest, etc. BI and EF'!$I$2:$I$11)</f>
        <v>8297038.807863242</v>
      </c>
      <c r="J23" s="3">
        <f>$C23*_xlfn.XLOOKUP(J21,'Interest, etc. BI and EF'!$A$2:$A$11,'Interest, etc. BI and EF'!$I$2:$I$11)</f>
        <v>8677305.3376705237</v>
      </c>
      <c r="K23" s="3">
        <f>$C23*_xlfn.XLOOKUP(K21,'Interest, etc. BI and EF'!$A$2:$A$11,'Interest, etc. BI and EF'!$I$2:$I$11)</f>
        <v>9071490.3091375679</v>
      </c>
      <c r="L23" s="3">
        <f>$C23*_xlfn.XLOOKUP(L21,'Interest, etc. BI and EF'!$A$2:$A$11,'Interest, etc. BI and EF'!$I$2:$I$11)</f>
        <v>9480017.4543374535</v>
      </c>
    </row>
    <row r="24" spans="1:12">
      <c r="B24" t="s">
        <v>30</v>
      </c>
      <c r="C24" s="3">
        <f>(C22+C23)*((1+_xlfn.XLOOKUP(C$21,'Interest, etc. BI and EF'!$A$2:$A$11,'Interest, etc. BI and EF'!$C$2:$C$11))^(1/2)-1)</f>
        <v>55549.62268795156</v>
      </c>
      <c r="D24" s="3">
        <f>(D22+D23)*((1+_xlfn.XLOOKUP(D$21,'Interest, etc. BI and EF'!$A$2:$A$11,'Interest, etc. BI and EF'!$C$2:$C$11))^(1/2)-1)</f>
        <v>-17003.310908928492</v>
      </c>
      <c r="E24" s="3">
        <f>(E22+E23)*((1+_xlfn.XLOOKUP(E$21,'Interest, etc. BI and EF'!$A$2:$A$11,'Interest, etc. BI and EF'!$C$2:$C$11))^(1/2)-1)</f>
        <v>-95342.582436768731</v>
      </c>
      <c r="F24" s="3">
        <f>(F22+F23)*((1+_xlfn.XLOOKUP(F$21,'Interest, etc. BI and EF'!$A$2:$A$11,'Interest, etc. BI and EF'!$C$2:$C$11))^(1/2)-1)</f>
        <v>-179270.13091304505</v>
      </c>
      <c r="G24" s="3">
        <f>(G22+G23)*((1+_xlfn.XLOOKUP(G$21,'Interest, etc. BI and EF'!$A$2:$A$11,'Interest, etc. BI and EF'!$C$2:$C$11))^(1/2)-1)</f>
        <v>-288177.97590728808</v>
      </c>
      <c r="H24" s="3">
        <f>(H22+H23)*((1+_xlfn.XLOOKUP(H$21,'Interest, etc. BI and EF'!$A$2:$A$11,'Interest, etc. BI and EF'!$C$2:$C$11))^(1/2)-1)</f>
        <v>-383844.79849514848</v>
      </c>
      <c r="I24" s="3">
        <f>(I22+I23)*((1+_xlfn.XLOOKUP(I$21,'Interest, etc. BI and EF'!$A$2:$A$11,'Interest, etc. BI and EF'!$C$2:$C$11))^(1/2)-1)</f>
        <v>-485480.68330771395</v>
      </c>
      <c r="J24" s="3">
        <f>(J22+J23)*((1+_xlfn.XLOOKUP(J$21,'Interest, etc. BI and EF'!$A$2:$A$11,'Interest, etc. BI and EF'!$C$2:$C$11))^(1/2)-1)</f>
        <v>-593337.38796988584</v>
      </c>
      <c r="K24" s="3">
        <f>(K22+K23)*((1+_xlfn.XLOOKUP(K$21,'Interest, etc. BI and EF'!$A$2:$A$11,'Interest, etc. BI and EF'!$C$2:$C$11))^(1/2)-1)</f>
        <v>-707688.26320279774</v>
      </c>
      <c r="L24" s="3">
        <f>(L22+L23)*((1+_xlfn.XLOOKUP(L$21,'Interest, etc. BI and EF'!$A$2:$A$11,'Interest, etc. BI and EF'!$C$2:$C$11))^(1/2)-1)</f>
        <v>-828821.46316951606</v>
      </c>
    </row>
    <row r="25" spans="1:12">
      <c r="B25" t="s">
        <v>25</v>
      </c>
      <c r="C25" s="4">
        <f>14597556*_xlfn.XLOOKUP(C21,'Interest, etc. BI and EF'!$A$2:$A$11,'Interest, etc. BI and EF'!$L$2:$L$11)</f>
        <v>14774230.785584468</v>
      </c>
      <c r="D25" s="5">
        <f>$C25*_xlfn.XLOOKUP(D21,'Interest, etc. BI and EF'!$A$2:$A$11,'Interest, etc. BI and EF'!$L$2:$L$11)/_xlfn.XLOOKUP($C21,'Interest, etc. BI and EF'!$A$2:$A$11,'Interest, etc. BI and EF'!$L$2:$L$11)</f>
        <v>15486853.351343863</v>
      </c>
      <c r="E25" s="5">
        <f>$C25*_xlfn.XLOOKUP(E21,'Interest, etc. BI and EF'!$A$2:$A$11,'Interest, etc. BI and EF'!$L$2:$L$11)/_xlfn.XLOOKUP($C21,'Interest, etc. BI and EF'!$A$2:$A$11,'Interest, etc. BI and EF'!$L$2:$L$11)</f>
        <v>16228847.759464642</v>
      </c>
      <c r="F25" s="4">
        <f>16234678*_xlfn.XLOOKUP(F21,'Interest, etc. BI and EF'!$A$2:$A$11,'Interest, etc. BI and EF'!$M$2:$M$11)</f>
        <v>19137111.385600522</v>
      </c>
      <c r="G25" s="5">
        <f>$C25*_xlfn.XLOOKUP(G21,'Interest, etc. BI and EF'!$A$2:$A$11,'Interest, etc. BI and EF'!$L$2:$L$11)/_xlfn.XLOOKUP($C21,'Interest, etc. BI and EF'!$A$2:$A$11,'Interest, etc. BI and EF'!$L$2:$L$11)</f>
        <v>17800938.864566337</v>
      </c>
      <c r="H25" s="5">
        <f>$C25*_xlfn.XLOOKUP(H21,'Interest, etc. BI and EF'!$A$2:$A$11,'Interest, etc. BI and EF'!$L$2:$L$11)/_xlfn.XLOOKUP($C21,'Interest, etc. BI and EF'!$A$2:$A$11,'Interest, etc. BI and EF'!$L$2:$L$11)</f>
        <v>18631896.04751778</v>
      </c>
      <c r="I25" s="5">
        <f>$C25*_xlfn.XLOOKUP(I21,'Interest, etc. BI and EF'!$A$2:$A$11,'Interest, etc. BI and EF'!$L$2:$L$11)/_xlfn.XLOOKUP($C21,'Interest, etc. BI and EF'!$A$2:$A$11,'Interest, etc. BI and EF'!$L$2:$L$11)</f>
        <v>19493717.070506431</v>
      </c>
      <c r="J25" s="5">
        <f>$C25*_xlfn.XLOOKUP(J21,'Interest, etc. BI and EF'!$A$2:$A$11,'Interest, etc. BI and EF'!$L$2:$L$11)/_xlfn.XLOOKUP($C21,'Interest, etc. BI and EF'!$A$2:$A$11,'Interest, etc. BI and EF'!$L$2:$L$11)</f>
        <v>20387258.022277419</v>
      </c>
      <c r="K25" s="5">
        <f>$C25*_xlfn.XLOOKUP(K21,'Interest, etc. BI and EF'!$A$2:$A$11,'Interest, etc. BI and EF'!$L$2:$L$11)/_xlfn.XLOOKUP($C21,'Interest, etc. BI and EF'!$A$2:$A$11,'Interest, etc. BI and EF'!$L$2:$L$11)</f>
        <v>21313462.167157378</v>
      </c>
      <c r="L25" s="5">
        <f>$C25*_xlfn.XLOOKUP(L21,'Interest, etc. BI and EF'!$A$2:$A$11,'Interest, etc. BI and EF'!$L$2:$L$11)/_xlfn.XLOOKUP($C21,'Interest, etc. BI and EF'!$A$2:$A$11,'Interest, etc. BI and EF'!$L$2:$L$11)</f>
        <v>22273339.63502723</v>
      </c>
    </row>
    <row r="26" spans="1:12">
      <c r="B26" t="s">
        <v>26</v>
      </c>
      <c r="C26" s="3">
        <f>C22+C23+C24-C25</f>
        <v>-8428478.1628965177</v>
      </c>
      <c r="D26" s="3">
        <f t="shared" ref="D26:L26" si="7">D22+D23+D24-D25</f>
        <v>-17414012.89673876</v>
      </c>
      <c r="E26" s="3">
        <f t="shared" si="7"/>
        <v>-26985119.824266896</v>
      </c>
      <c r="F26" s="3">
        <f t="shared" si="7"/>
        <v>-39306764.754220776</v>
      </c>
      <c r="G26" s="3">
        <f t="shared" si="7"/>
        <v>-50171639.062318921</v>
      </c>
      <c r="H26" s="3">
        <f t="shared" si="7"/>
        <v>-61707742.261974469</v>
      </c>
      <c r="I26" s="3">
        <f t="shared" si="7"/>
        <v>-73944716.983914793</v>
      </c>
      <c r="J26" s="3">
        <f t="shared" si="7"/>
        <v>-86913223.147071198</v>
      </c>
      <c r="K26" s="3">
        <f t="shared" si="7"/>
        <v>-100645028.11178419</v>
      </c>
      <c r="L26" s="3">
        <f t="shared" si="7"/>
        <v>-115173070.92069133</v>
      </c>
    </row>
    <row r="27" spans="1:12">
      <c r="B27" t="s">
        <v>27</v>
      </c>
      <c r="C27" s="3">
        <f>C26*((1+_xlfn.XLOOKUP(C$21,'Interest, etc. BI and EF'!$A$2:$A$11,'Interest, etc. BI and EF'!$C$2:$C$11))^(1/2)-1)</f>
        <v>-74433.016197178484</v>
      </c>
      <c r="D27" s="3">
        <f>D26*((1+_xlfn.XLOOKUP(D$21,'Interest, etc. BI and EF'!$A$2:$A$11,'Interest, etc. BI and EF'!$C$2:$C$11))^(1/2)-1)</f>
        <v>-155011.3389206721</v>
      </c>
      <c r="E27" s="3">
        <f>E26*((1+_xlfn.XLOOKUP(E$21,'Interest, etc. BI and EF'!$A$2:$A$11,'Interest, etc. BI and EF'!$C$2:$C$11))^(1/2)-1)</f>
        <v>-241332.71077977153</v>
      </c>
      <c r="F27" s="3">
        <f>F26*((1+_xlfn.XLOOKUP(F$21,'Interest, etc. BI and EF'!$A$2:$A$11,'Interest, etc. BI and EF'!$C$2:$C$11))^(1/2)-1)</f>
        <v>-352495.93664446543</v>
      </c>
      <c r="G27" s="3">
        <f>G26*((1+_xlfn.XLOOKUP(G$21,'Interest, etc. BI and EF'!$A$2:$A$11,'Interest, etc. BI and EF'!$C$2:$C$11))^(1/2)-1)</f>
        <v>-450661.61858949042</v>
      </c>
      <c r="H27" s="3">
        <f>H26*((1+_xlfn.XLOOKUP(H$21,'Interest, etc. BI and EF'!$A$2:$A$11,'Interest, etc. BI and EF'!$C$2:$C$11))^(1/2)-1)</f>
        <v>-554815.77598942071</v>
      </c>
      <c r="I27" s="3">
        <f>I26*((1+_xlfn.XLOOKUP(I$21,'Interest, etc. BI and EF'!$A$2:$A$11,'Interest, etc. BI and EF'!$C$2:$C$11))^(1/2)-1)</f>
        <v>-665216.09057961288</v>
      </c>
      <c r="J27" s="3">
        <f>J26*((1+_xlfn.XLOOKUP(J$21,'Interest, etc. BI and EF'!$A$2:$A$11,'Interest, etc. BI and EF'!$C$2:$C$11))^(1/2)-1)</f>
        <v>-782144.84349037148</v>
      </c>
      <c r="K27" s="3">
        <f>K26*((1+_xlfn.XLOOKUP(K$21,'Interest, etc. BI and EF'!$A$2:$A$11,'Interest, etc. BI and EF'!$C$2:$C$11))^(1/2)-1)</f>
        <v>-905899.16504783742</v>
      </c>
      <c r="L27" s="3">
        <f>L26*((1+_xlfn.XLOOKUP(L$21,'Interest, etc. BI and EF'!$A$2:$A$11,'Interest, etc. BI and EF'!$C$2:$C$11))^(1/2)-1)</f>
        <v>-1036786.8998172075</v>
      </c>
    </row>
    <row r="28" spans="1:12">
      <c r="B28" t="s">
        <v>28</v>
      </c>
      <c r="C28" s="13">
        <f>C26+C27</f>
        <v>-8502911.1790936962</v>
      </c>
      <c r="D28" s="3">
        <f t="shared" ref="D28:L28" si="8">D26+D27</f>
        <v>-17569024.235659432</v>
      </c>
      <c r="E28" s="13">
        <f t="shared" si="8"/>
        <v>-27226452.535046667</v>
      </c>
      <c r="F28" s="3">
        <f t="shared" si="8"/>
        <v>-39659260.690865241</v>
      </c>
      <c r="G28" s="3">
        <f t="shared" si="8"/>
        <v>-50622300.680908412</v>
      </c>
      <c r="H28" s="3">
        <f t="shared" si="8"/>
        <v>-62262558.03796389</v>
      </c>
      <c r="I28" s="3">
        <f t="shared" si="8"/>
        <v>-74609933.074494407</v>
      </c>
      <c r="J28" s="3">
        <f t="shared" si="8"/>
        <v>-87695367.990561575</v>
      </c>
      <c r="K28" s="3">
        <f t="shared" si="8"/>
        <v>-101550927.27683203</v>
      </c>
      <c r="L28" s="13">
        <f t="shared" si="8"/>
        <v>-116209857.82050854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D27A-B95D-418E-9DF2-7C7BDC450638}">
  <dimension ref="A1:L28"/>
  <sheetViews>
    <sheetView workbookViewId="0">
      <selection activeCell="F19" sqref="F19"/>
    </sheetView>
  </sheetViews>
  <sheetFormatPr defaultRowHeight="14.45"/>
  <cols>
    <col min="1" max="1" width="34.140625" bestFit="1" customWidth="1"/>
    <col min="2" max="2" width="40.140625" bestFit="1" customWidth="1"/>
    <col min="3" max="5" width="16" bestFit="1" customWidth="1"/>
    <col min="6" max="12" width="17.7109375" bestFit="1" customWidth="1"/>
    <col min="13" max="13" width="11.42578125" bestFit="1" customWidth="1"/>
  </cols>
  <sheetData>
    <row r="1" spans="1:12">
      <c r="A1" s="1" t="s">
        <v>14</v>
      </c>
    </row>
    <row r="2" spans="1:12">
      <c r="A2" s="2"/>
      <c r="B2" s="2" t="s">
        <v>19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>
      <c r="B3" t="s">
        <v>22</v>
      </c>
      <c r="C3" s="3">
        <v>0</v>
      </c>
      <c r="D3" s="3">
        <f>C9</f>
        <v>2368923.4007422542</v>
      </c>
      <c r="E3" s="3">
        <f t="shared" ref="E3:L3" si="0">D9</f>
        <v>4887786.0780096389</v>
      </c>
      <c r="F3" s="3">
        <f t="shared" si="0"/>
        <v>7566610.7372462619</v>
      </c>
      <c r="G3" s="3">
        <f t="shared" si="0"/>
        <v>-226072007.27244198</v>
      </c>
      <c r="H3" s="3">
        <f t="shared" si="0"/>
        <v>-227313864.22565597</v>
      </c>
      <c r="I3" s="3">
        <f t="shared" si="0"/>
        <v>-228450606.73824725</v>
      </c>
      <c r="J3" s="3">
        <f t="shared" si="0"/>
        <v>-229473503.8676317</v>
      </c>
      <c r="K3" s="3">
        <f t="shared" si="0"/>
        <v>-230374295.68631193</v>
      </c>
      <c r="L3" s="3">
        <f t="shared" si="0"/>
        <v>-231144882.22088233</v>
      </c>
    </row>
    <row r="4" spans="1:12">
      <c r="B4" t="s">
        <v>23</v>
      </c>
      <c r="C4" s="4">
        <v>108505130</v>
      </c>
      <c r="D4" s="3">
        <f>$C4*_xlfn.XLOOKUP(D2,'Interest, etc. BI and EF'!$A$2:$A$11,'Interest, etc. BI and EF'!$I$2:$I$11)</f>
        <v>113724109.11425339</v>
      </c>
      <c r="E4" s="3">
        <f>$C4*_xlfn.XLOOKUP(E2,'Interest, etc. BI and EF'!$A$2:$A$11,'Interest, etc. BI and EF'!$I$2:$I$11)</f>
        <v>119163677.11160955</v>
      </c>
      <c r="F4" s="3">
        <f>$C4*_xlfn.XLOOKUP(F2,'Interest, etc. BI and EF'!$A$2:$A$11,'Interest, etc. BI and EF'!$I$2:$I$11)</f>
        <v>124821192.54288398</v>
      </c>
      <c r="G4" s="3">
        <f>$C4*_xlfn.XLOOKUP(G2,'Interest, etc. BI and EF'!$A$2:$A$11,'Interest, etc. BI and EF'!$I$2:$I$11)</f>
        <v>130697688.54153197</v>
      </c>
      <c r="H4" s="3">
        <f>$C4*_xlfn.XLOOKUP(H2,'Interest, etc. BI and EF'!$A$2:$A$11,'Interest, etc. BI and EF'!$I$2:$I$11)</f>
        <v>136796563.27179992</v>
      </c>
      <c r="I4" s="3">
        <f>$C4*_xlfn.XLOOKUP(I2,'Interest, etc. BI and EF'!$A$2:$A$11,'Interest, etc. BI and EF'!$I$2:$I$11)</f>
        <v>143122769.56121227</v>
      </c>
      <c r="J4" s="3">
        <f>$C4*_xlfn.XLOOKUP(J2,'Interest, etc. BI and EF'!$A$2:$A$11,'Interest, etc. BI and EF'!$I$2:$I$11)</f>
        <v>149682314.49980772</v>
      </c>
      <c r="K4" s="3">
        <f>$C4*_xlfn.XLOOKUP(K2,'Interest, etc. BI and EF'!$A$2:$A$11,'Interest, etc. BI and EF'!$I$2:$I$11)</f>
        <v>156481950.62809771</v>
      </c>
      <c r="L4" s="3">
        <f>$C4*_xlfn.XLOOKUP(L2,'Interest, etc. BI and EF'!$A$2:$A$11,'Interest, etc. BI and EF'!$I$2:$I$11)</f>
        <v>163528987.26561838</v>
      </c>
    </row>
    <row r="5" spans="1:12">
      <c r="A5" t="s">
        <v>29</v>
      </c>
      <c r="B5" t="s">
        <v>30</v>
      </c>
      <c r="C5" s="3">
        <f>(C3+C4)*((1+_xlfn.XLOOKUP(C$2,'Interest, etc. BI and EF'!$A$2:$A$11,'Interest, etc. BI and EF'!$C$2:$C$11))^(1/2)-1)</f>
        <v>958223.29282650084</v>
      </c>
      <c r="D5" s="3">
        <f>(D3+D4)*((1+_xlfn.XLOOKUP(D$2,'Interest, etc. BI and EF'!$A$2:$A$11,'Interest, etc. BI and EF'!$C$2:$C$11))^(1/2)-1)</f>
        <v>1033405.4830567386</v>
      </c>
      <c r="E5" s="3">
        <f>(E3+E4)*((1+_xlfn.XLOOKUP(E$2,'Interest, etc. BI and EF'!$A$2:$A$11,'Interest, etc. BI and EF'!$C$2:$C$11))^(1/2)-1)</f>
        <v>1109414.2283861865</v>
      </c>
      <c r="F5" s="3">
        <f>(F3+F4)*((1+_xlfn.XLOOKUP(F$2,'Interest, etc. BI and EF'!$A$2:$A$11,'Interest, etc. BI and EF'!$C$2:$C$11))^(1/2)-1)</f>
        <v>1187229.8066078234</v>
      </c>
      <c r="G5" s="3">
        <f>(G3+G4)*((1+_xlfn.XLOOKUP(G$2,'Interest, etc. BI and EF'!$A$2:$A$11,'Interest, etc. BI and EF'!$C$2:$C$11))^(1/2)-1)</f>
        <v>-856690.06742542062</v>
      </c>
      <c r="H5" s="3">
        <f>(H3+H4)*((1+_xlfn.XLOOKUP(H$2,'Interest, etc. BI and EF'!$A$2:$A$11,'Interest, etc. BI and EF'!$C$2:$C$11))^(1/2)-1)</f>
        <v>-813843.20229989034</v>
      </c>
      <c r="I5" s="3">
        <f>(I3+I4)*((1+_xlfn.XLOOKUP(I$2,'Interest, etc. BI and EF'!$A$2:$A$11,'Interest, etc. BI and EF'!$C$2:$C$11))^(1/2)-1)</f>
        <v>-767620.08943611593</v>
      </c>
      <c r="J5" s="3">
        <f>(J3+J4)*((1+_xlfn.XLOOKUP(J$2,'Interest, etc. BI and EF'!$A$2:$A$11,'Interest, etc. BI and EF'!$C$2:$C$11))^(1/2)-1)</f>
        <v>-718052.61685442762</v>
      </c>
      <c r="K5" s="3">
        <f>(K3+K4)*((1+_xlfn.XLOOKUP(K$2,'Interest, etc. BI and EF'!$A$2:$A$11,'Interest, etc. BI and EF'!$C$2:$C$11))^(1/2)-1)</f>
        <v>-665100.05459301267</v>
      </c>
      <c r="L5" s="3">
        <f>(L3+L4)*((1+_xlfn.XLOOKUP(L$2,'Interest, etc. BI and EF'!$A$2:$A$11,'Interest, etc. BI and EF'!$C$2:$C$11))^(1/2)-1)</f>
        <v>-608677.64963311155</v>
      </c>
    </row>
    <row r="6" spans="1:12">
      <c r="A6" t="s">
        <v>31</v>
      </c>
      <c r="B6" t="s">
        <v>25</v>
      </c>
      <c r="C6" s="4">
        <f>105834251*_xlfn.XLOOKUP(C12,'Interest, etc. BI and EF'!$A$2:$A$11,'Interest, etc. BI and EF'!$L$2:$L$11)</f>
        <v>107115167.0384737</v>
      </c>
      <c r="D6" s="5">
        <f>$C6*_xlfn.XLOOKUP(D2,'Interest, etc. BI and EF'!$A$2:$A$11,'Interest, etc. BI and EF'!$L$2:$L$11)/_xlfn.XLOOKUP($C2,'Interest, etc. BI and EF'!$A$2:$A$11,'Interest, etc. BI and EF'!$L$2:$L$11)</f>
        <v>112281776.81156473</v>
      </c>
      <c r="E6" s="5">
        <f>$C6*_xlfn.XLOOKUP(E2,'Interest, etc. BI and EF'!$A$2:$A$11,'Interest, etc. BI and EF'!$L$2:$L$11)/_xlfn.XLOOKUP($C2,'Interest, etc. BI and EF'!$A$2:$A$11,'Interest, etc. BI and EF'!$L$2:$L$11)</f>
        <v>117661336.4056263</v>
      </c>
      <c r="F6" s="4">
        <f>303396504*_xlfn.XLOOKUP(F2,'Interest, etc. BI and EF'!$A$2:$A$11,'Interest, etc. BI and EF'!$M$2:$M$11)</f>
        <v>357637687.11949778</v>
      </c>
      <c r="G6" s="5">
        <f>$C6*_xlfn.XLOOKUP(G2,'Interest, etc. BI and EF'!$A$2:$A$11,'Interest, etc. BI and EF'!$L$2:$L$11)/_xlfn.XLOOKUP($C2,'Interest, etc. BI and EF'!$A$2:$A$11,'Interest, etc. BI and EF'!$L$2:$L$11)</f>
        <v>129059209.07775033</v>
      </c>
      <c r="H6" s="5">
        <f>$C6*_xlfn.XLOOKUP(H2,'Interest, etc. BI and EF'!$A$2:$A$11,'Interest, etc. BI and EF'!$L$2:$L$11)/_xlfn.XLOOKUP($C2,'Interest, etc. BI and EF'!$A$2:$A$11,'Interest, etc. BI and EF'!$L$2:$L$11)</f>
        <v>135083760.79522523</v>
      </c>
      <c r="I6" s="5">
        <f>$C6*_xlfn.XLOOKUP(I2,'Interest, etc. BI and EF'!$A$2:$A$11,'Interest, etc. BI and EF'!$L$2:$L$11)/_xlfn.XLOOKUP($C2,'Interest, etc. BI and EF'!$A$2:$A$11,'Interest, etc. BI and EF'!$L$2:$L$11)</f>
        <v>141332079.51817158</v>
      </c>
      <c r="J6" s="5">
        <f>$C6*_xlfn.XLOOKUP(J2,'Interest, etc. BI and EF'!$A$2:$A$11,'Interest, etc. BI and EF'!$L$2:$L$11)/_xlfn.XLOOKUP($C2,'Interest, etc. BI and EF'!$A$2:$A$11,'Interest, etc. BI and EF'!$L$2:$L$11)</f>
        <v>147810372.00552422</v>
      </c>
      <c r="K6" s="5">
        <f>$C6*_xlfn.XLOOKUP(K2,'Interest, etc. BI and EF'!$A$2:$A$11,'Interest, etc. BI and EF'!$L$2:$L$11)/_xlfn.XLOOKUP($C2,'Interest, etc. BI and EF'!$A$2:$A$11,'Interest, etc. BI and EF'!$L$2:$L$11)</f>
        <v>154525477.05094865</v>
      </c>
      <c r="L6" s="5">
        <f>$C6*_xlfn.XLOOKUP(L2,'Interest, etc. BI and EF'!$A$2:$A$11,'Interest, etc. BI and EF'!$L$2:$L$11)/_xlfn.XLOOKUP($C2,'Interest, etc. BI and EF'!$A$2:$A$11,'Interest, etc. BI and EF'!$L$2:$L$11)</f>
        <v>161484718.23240277</v>
      </c>
    </row>
    <row r="7" spans="1:12">
      <c r="B7" t="s">
        <v>26</v>
      </c>
      <c r="C7" s="3">
        <f>C3+C4+C5-C6</f>
        <v>2348186.254352808</v>
      </c>
      <c r="D7" s="3">
        <f t="shared" ref="D7:L7" si="1">D3+D4+D5-D6</f>
        <v>4844661.1864876449</v>
      </c>
      <c r="E7" s="3">
        <f t="shared" si="1"/>
        <v>7499541.0123790801</v>
      </c>
      <c r="F7" s="3">
        <f t="shared" si="1"/>
        <v>-224062654.03275973</v>
      </c>
      <c r="G7" s="3">
        <f t="shared" si="1"/>
        <v>-225290217.87608576</v>
      </c>
      <c r="H7" s="3">
        <f t="shared" si="1"/>
        <v>-226414904.95138118</v>
      </c>
      <c r="I7" s="3">
        <f t="shared" si="1"/>
        <v>-227427536.78464267</v>
      </c>
      <c r="J7" s="3">
        <f t="shared" si="1"/>
        <v>-228319613.99020264</v>
      </c>
      <c r="K7" s="3">
        <f t="shared" si="1"/>
        <v>-229082922.16375589</v>
      </c>
      <c r="L7" s="3">
        <f t="shared" si="1"/>
        <v>-229709290.83729982</v>
      </c>
    </row>
    <row r="8" spans="1:12">
      <c r="B8" t="s">
        <v>27</v>
      </c>
      <c r="C8" s="3">
        <f>C7*((1+_xlfn.XLOOKUP(C$2,'Interest, etc. BI and EF'!$A$2:$A$11,'Interest, etc. BI and EF'!$C$2:$C$11))^(1/2)-1)</f>
        <v>20737.146389446054</v>
      </c>
      <c r="D8" s="3">
        <f>D7*((1+_xlfn.XLOOKUP(D$2,'Interest, etc. BI and EF'!$A$2:$A$11,'Interest, etc. BI and EF'!$C$2:$C$11))^(1/2)-1)</f>
        <v>43124.891521993894</v>
      </c>
      <c r="E8" s="3">
        <f>E7*((1+_xlfn.XLOOKUP(E$2,'Interest, etc. BI and EF'!$A$2:$A$11,'Interest, etc. BI and EF'!$C$2:$C$11))^(1/2)-1)</f>
        <v>67069.724867181852</v>
      </c>
      <c r="F8" s="3">
        <f>F7*((1+_xlfn.XLOOKUP(F$2,'Interest, etc. BI and EF'!$A$2:$A$11,'Interest, etc. BI and EF'!$C$2:$C$11))^(1/2)-1)</f>
        <v>-2009353.2396822716</v>
      </c>
      <c r="G8" s="3">
        <f>G7*((1+_xlfn.XLOOKUP(G$2,'Interest, etc. BI and EF'!$A$2:$A$11,'Interest, etc. BI and EF'!$C$2:$C$11))^(1/2)-1)</f>
        <v>-2023646.3495702082</v>
      </c>
      <c r="H8" s="3">
        <f>H7*((1+_xlfn.XLOOKUP(H$2,'Interest, etc. BI and EF'!$A$2:$A$11,'Interest, etc. BI and EF'!$C$2:$C$11))^(1/2)-1)</f>
        <v>-2035701.7868660563</v>
      </c>
      <c r="I8" s="3">
        <f>I7*((1+_xlfn.XLOOKUP(I$2,'Interest, etc. BI and EF'!$A$2:$A$11,'Interest, etc. BI and EF'!$C$2:$C$11))^(1/2)-1)</f>
        <v>-2045967.0829890512</v>
      </c>
      <c r="J8" s="3">
        <f>J7*((1+_xlfn.XLOOKUP(J$2,'Interest, etc. BI and EF'!$A$2:$A$11,'Interest, etc. BI and EF'!$C$2:$C$11))^(1/2)-1)</f>
        <v>-2054681.6961092856</v>
      </c>
      <c r="K8" s="3">
        <f>K7*((1+_xlfn.XLOOKUP(K$2,'Interest, etc. BI and EF'!$A$2:$A$11,'Interest, etc. BI and EF'!$C$2:$C$11))^(1/2)-1)</f>
        <v>-2061960.0571264252</v>
      </c>
      <c r="L8" s="3">
        <f>L7*((1+_xlfn.XLOOKUP(L$2,'Interest, etc. BI and EF'!$A$2:$A$11,'Interest, etc. BI and EF'!$C$2:$C$11))^(1/2)-1)</f>
        <v>-2067840.8728930312</v>
      </c>
    </row>
    <row r="9" spans="1:12">
      <c r="B9" t="s">
        <v>28</v>
      </c>
      <c r="C9" s="13">
        <f>C7+C8</f>
        <v>2368923.4007422542</v>
      </c>
      <c r="D9" s="3">
        <f t="shared" ref="D9:L9" si="2">D7+D8</f>
        <v>4887786.0780096389</v>
      </c>
      <c r="E9" s="13">
        <f t="shared" si="2"/>
        <v>7566610.7372462619</v>
      </c>
      <c r="F9" s="3">
        <f t="shared" si="2"/>
        <v>-226072007.27244198</v>
      </c>
      <c r="G9" s="3">
        <f t="shared" si="2"/>
        <v>-227313864.22565597</v>
      </c>
      <c r="H9" s="3">
        <f t="shared" si="2"/>
        <v>-228450606.73824725</v>
      </c>
      <c r="I9" s="3">
        <f t="shared" si="2"/>
        <v>-229473503.8676317</v>
      </c>
      <c r="J9" s="3">
        <f t="shared" si="2"/>
        <v>-230374295.68631193</v>
      </c>
      <c r="K9" s="3">
        <f t="shared" si="2"/>
        <v>-231144882.22088233</v>
      </c>
      <c r="L9" s="13">
        <f t="shared" si="2"/>
        <v>-231777131.71019286</v>
      </c>
    </row>
    <row r="12" spans="1:12">
      <c r="A12" s="2"/>
      <c r="B12" s="2" t="s">
        <v>32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</row>
    <row r="13" spans="1:12">
      <c r="B13" t="s">
        <v>22</v>
      </c>
      <c r="C13" s="3">
        <v>0</v>
      </c>
      <c r="D13" s="3">
        <f>C19</f>
        <v>9316398.1620514877</v>
      </c>
      <c r="E13" s="3">
        <f t="shared" ref="E13:L13" si="3">D19</f>
        <v>19242586.153564967</v>
      </c>
      <c r="F13" s="3">
        <f t="shared" si="3"/>
        <v>29811659.368683472</v>
      </c>
      <c r="G13" s="3">
        <f t="shared" si="3"/>
        <v>-188580784.65786657</v>
      </c>
      <c r="H13" s="3">
        <f t="shared" si="3"/>
        <v>-180774077.16731998</v>
      </c>
      <c r="I13" s="3">
        <f t="shared" si="3"/>
        <v>-172307274.35176727</v>
      </c>
      <c r="J13" s="3">
        <f t="shared" si="3"/>
        <v>-163147204.50467539</v>
      </c>
      <c r="K13" s="3">
        <f t="shared" si="3"/>
        <v>-153260308.01630026</v>
      </c>
      <c r="L13" s="3">
        <f t="shared" si="3"/>
        <v>-142612263.57373297</v>
      </c>
    </row>
    <row r="14" spans="1:12">
      <c r="B14" t="s">
        <v>23</v>
      </c>
      <c r="C14" s="4">
        <v>108505130</v>
      </c>
      <c r="D14" s="3">
        <f>$C14*_xlfn.XLOOKUP(D12,'Interest, etc. BI and EF'!$A$2:$A$11,'Interest, etc. BI and EF'!$I$2:$I$11)</f>
        <v>113724109.11425339</v>
      </c>
      <c r="E14" s="3">
        <f>$C14*_xlfn.XLOOKUP(E12,'Interest, etc. BI and EF'!$A$2:$A$11,'Interest, etc. BI and EF'!$I$2:$I$11)</f>
        <v>119163677.11160955</v>
      </c>
      <c r="F14" s="3">
        <f>$C14*_xlfn.XLOOKUP(F12,'Interest, etc. BI and EF'!$A$2:$A$11,'Interest, etc. BI and EF'!$I$2:$I$11)</f>
        <v>124821192.54288398</v>
      </c>
      <c r="G14" s="3">
        <f>$C14*_xlfn.XLOOKUP(G12,'Interest, etc. BI and EF'!$A$2:$A$11,'Interest, etc. BI and EF'!$I$2:$I$11)</f>
        <v>130697688.54153197</v>
      </c>
      <c r="H14" s="3">
        <f>$C14*_xlfn.XLOOKUP(H12,'Interest, etc. BI and EF'!$A$2:$A$11,'Interest, etc. BI and EF'!$I$2:$I$11)</f>
        <v>136796563.27179992</v>
      </c>
      <c r="I14" s="3">
        <f>$C14*_xlfn.XLOOKUP(I12,'Interest, etc. BI and EF'!$A$2:$A$11,'Interest, etc. BI and EF'!$I$2:$I$11)</f>
        <v>143122769.56121227</v>
      </c>
      <c r="J14" s="3">
        <f>$C14*_xlfn.XLOOKUP(J12,'Interest, etc. BI and EF'!$A$2:$A$11,'Interest, etc. BI and EF'!$I$2:$I$11)</f>
        <v>149682314.49980772</v>
      </c>
      <c r="K14" s="3">
        <f>$C14*_xlfn.XLOOKUP(K12,'Interest, etc. BI and EF'!$A$2:$A$11,'Interest, etc. BI and EF'!$I$2:$I$11)</f>
        <v>156481950.62809771</v>
      </c>
      <c r="L14" s="3">
        <f>$C14*_xlfn.XLOOKUP(L12,'Interest, etc. BI and EF'!$A$2:$A$11,'Interest, etc. BI and EF'!$I$2:$I$11)</f>
        <v>163528987.26561838</v>
      </c>
    </row>
    <row r="15" spans="1:12">
      <c r="A15" t="s">
        <v>29</v>
      </c>
      <c r="B15" t="s">
        <v>30</v>
      </c>
      <c r="C15" s="3">
        <f>(C13+C14)*((1+_xlfn.XLOOKUP(C$12,'Interest, etc. BI and EF'!$A$2:$A$11,'Interest, etc. BI and EF'!$C$2:$C$11))^(1/2)-1)</f>
        <v>958223.29282650084</v>
      </c>
      <c r="D15" s="3">
        <f>(D13+D14)*((1+_xlfn.XLOOKUP(D$12,'Interest, etc. BI and EF'!$A$2:$A$11,'Interest, etc. BI and EF'!$C$2:$C$11))^(1/2)-1)</f>
        <v>1095248.6303688555</v>
      </c>
      <c r="E15" s="3">
        <f>(E13+E14)*((1+_xlfn.XLOOKUP(E$12,'Interest, etc. BI and EF'!$A$2:$A$11,'Interest, etc. BI and EF'!$C$2:$C$11))^(1/2)-1)</f>
        <v>1237791.7504240954</v>
      </c>
      <c r="F15" s="3">
        <f>(F13+F14)*((1+_xlfn.XLOOKUP(F$12,'Interest, etc. BI and EF'!$A$2:$A$11,'Interest, etc. BI and EF'!$C$2:$C$11))^(1/2)-1)</f>
        <v>1386719.3678085615</v>
      </c>
      <c r="G15" s="3">
        <f>(G13+G14)*((1+_xlfn.XLOOKUP(G$12,'Interest, etc. BI and EF'!$A$2:$A$11,'Interest, etc. BI and EF'!$C$2:$C$11))^(1/2)-1)</f>
        <v>-519928.99319786992</v>
      </c>
      <c r="H15" s="3">
        <f>(H13+H14)*((1+_xlfn.XLOOKUP(H$12,'Interest, etc. BI and EF'!$A$2:$A$11,'Interest, etc. BI and EF'!$C$2:$C$11))^(1/2)-1)</f>
        <v>-395402.87172463769</v>
      </c>
      <c r="I15" s="3">
        <f>(I13+I14)*((1+_xlfn.XLOOKUP(I$12,'Interest, etc. BI and EF'!$A$2:$A$11,'Interest, etc. BI and EF'!$C$2:$C$11))^(1/2)-1)</f>
        <v>-262547.52163698338</v>
      </c>
      <c r="J15" s="3">
        <f>(J13+J14)*((1+_xlfn.XLOOKUP(J$12,'Interest, etc. BI and EF'!$A$2:$A$11,'Interest, etc. BI and EF'!$C$2:$C$11))^(1/2)-1)</f>
        <v>-121172.52017741081</v>
      </c>
      <c r="K15" s="3">
        <f>(K13+K14)*((1+_xlfn.XLOOKUP(K$12,'Interest, etc. BI and EF'!$A$2:$A$11,'Interest, etc. BI and EF'!$C$2:$C$11))^(1/2)-1)</f>
        <v>28997.789626213344</v>
      </c>
      <c r="L15" s="3">
        <f>(L13+L14)*((1+_xlfn.XLOOKUP(L$12,'Interest, etc. BI and EF'!$A$2:$A$11,'Interest, etc. BI and EF'!$C$2:$C$11))^(1/2)-1)</f>
        <v>188292.14969683503</v>
      </c>
    </row>
    <row r="16" spans="1:12">
      <c r="A16" t="s">
        <v>33</v>
      </c>
      <c r="B16" t="s">
        <v>25</v>
      </c>
      <c r="C16" s="4">
        <f>99029946*_xlfn.XLOOKUP(C12,'Interest, etc. BI and EF'!$A$2:$A$11,'Interest, etc. BI and EF'!$L$2:$L$11)</f>
        <v>100228509.27154981</v>
      </c>
      <c r="D16" s="5">
        <f>$C16*_xlfn.XLOOKUP(D12,'Interest, etc. BI and EF'!$A$2:$A$11,'Interest, etc. BI and EF'!$L$2:$L$11)/_xlfn.XLOOKUP($C12,'Interest, etc. BI and EF'!$A$2:$A$11,'Interest, etc. BI and EF'!$L$2:$L$11)</f>
        <v>105062946.9134081</v>
      </c>
      <c r="E16" s="5">
        <f>$C16*_xlfn.XLOOKUP(E12,'Interest, etc. BI and EF'!$A$2:$A$11,'Interest, etc. BI and EF'!$L$2:$L$11)/_xlfn.XLOOKUP($C12,'Interest, etc. BI and EF'!$A$2:$A$11,'Interest, etc. BI and EF'!$L$2:$L$11)</f>
        <v>110096643.38756464</v>
      </c>
      <c r="F16" s="4">
        <f>290914565*_xlfn.XLOOKUP(F12,'Interest, etc. BI and EF'!$A$2:$A$11,'Interest, etc. BI and EF'!$M$2:$M$11)</f>
        <v>342924228.86973941</v>
      </c>
      <c r="G16" s="5">
        <f>$C16*_xlfn.XLOOKUP(G12,'Interest, etc. BI and EF'!$A$2:$A$11,'Interest, etc. BI and EF'!$L$2:$L$11)/_xlfn.XLOOKUP($C12,'Interest, etc. BI and EF'!$A$2:$A$11,'Interest, etc. BI and EF'!$L$2:$L$11)</f>
        <v>120761723.02454641</v>
      </c>
      <c r="H16" s="5">
        <f>$C16*_xlfn.XLOOKUP(H12,'Interest, etc. BI and EF'!$A$2:$A$11,'Interest, etc. BI and EF'!$L$2:$L$11)/_xlfn.XLOOKUP($C12,'Interest, etc. BI and EF'!$A$2:$A$11,'Interest, etc. BI and EF'!$L$2:$L$11)</f>
        <v>126398943.73162872</v>
      </c>
      <c r="I16" s="5">
        <f>$C16*_xlfn.XLOOKUP(I12,'Interest, etc. BI and EF'!$A$2:$A$11,'Interest, etc. BI and EF'!$L$2:$L$11)/_xlfn.XLOOKUP($C12,'Interest, etc. BI and EF'!$A$2:$A$11,'Interest, etc. BI and EF'!$L$2:$L$11)</f>
        <v>132245544.99613017</v>
      </c>
      <c r="J16" s="5">
        <f>$C16*_xlfn.XLOOKUP(J12,'Interest, etc. BI and EF'!$A$2:$A$11,'Interest, etc. BI and EF'!$L$2:$L$11)/_xlfn.XLOOKUP($C12,'Interest, etc. BI and EF'!$A$2:$A$11,'Interest, etc. BI and EF'!$L$2:$L$11)</f>
        <v>138307334.53149277</v>
      </c>
      <c r="K16" s="5">
        <f>$C16*_xlfn.XLOOKUP(K12,'Interest, etc. BI and EF'!$A$2:$A$11,'Interest, etc. BI and EF'!$L$2:$L$11)/_xlfn.XLOOKUP($C12,'Interest, etc. BI and EF'!$A$2:$A$11,'Interest, etc. BI and EF'!$L$2:$L$11)</f>
        <v>144590711.45105645</v>
      </c>
      <c r="L16" s="5">
        <f>$C16*_xlfn.XLOOKUP(L12,'Interest, etc. BI and EF'!$A$2:$A$11,'Interest, etc. BI and EF'!$L$2:$L$11)/_xlfn.XLOOKUP($C12,'Interest, etc. BI and EF'!$A$2:$A$11,'Interest, etc. BI and EF'!$L$2:$L$11)</f>
        <v>151102528.48465908</v>
      </c>
    </row>
    <row r="17" spans="1:12">
      <c r="B17" t="s">
        <v>26</v>
      </c>
      <c r="C17" s="3">
        <f>C13+C14+C15-C16</f>
        <v>9234844.0212766975</v>
      </c>
      <c r="D17" s="3">
        <f t="shared" ref="D17:L17" si="4">D13+D14+D15-D16</f>
        <v>19072808.993265629</v>
      </c>
      <c r="E17" s="3">
        <f t="shared" si="4"/>
        <v>29547411.628033951</v>
      </c>
      <c r="F17" s="3">
        <f t="shared" si="4"/>
        <v>-186904657.59036341</v>
      </c>
      <c r="G17" s="3">
        <f t="shared" si="4"/>
        <v>-179164748.13407889</v>
      </c>
      <c r="H17" s="3">
        <f t="shared" si="4"/>
        <v>-170771860.49887341</v>
      </c>
      <c r="I17" s="3">
        <f t="shared" si="4"/>
        <v>-161692597.30832216</v>
      </c>
      <c r="J17" s="3">
        <f t="shared" si="4"/>
        <v>-151893397.05653787</v>
      </c>
      <c r="K17" s="3">
        <f t="shared" si="4"/>
        <v>-141340071.04963279</v>
      </c>
      <c r="L17" s="3">
        <f t="shared" si="4"/>
        <v>-129997512.64307684</v>
      </c>
    </row>
    <row r="18" spans="1:12">
      <c r="B18" t="s">
        <v>27</v>
      </c>
      <c r="C18" s="3">
        <f>C17*((1+_xlfn.XLOOKUP(C$12,'Interest, etc. BI and EF'!$A$2:$A$11,'Interest, etc. BI and EF'!$C$2:$C$11))^(1/2)-1)</f>
        <v>81554.140774789921</v>
      </c>
      <c r="D18" s="3">
        <f>D17*((1+_xlfn.XLOOKUP(D$12,'Interest, etc. BI and EF'!$A$2:$A$11,'Interest, etc. BI and EF'!$C$2:$C$11))^(1/2)-1)</f>
        <v>169777.16029933715</v>
      </c>
      <c r="E18" s="3">
        <f>E17*((1+_xlfn.XLOOKUP(E$12,'Interest, etc. BI and EF'!$A$2:$A$11,'Interest, etc. BI and EF'!$C$2:$C$11))^(1/2)-1)</f>
        <v>264247.74064952281</v>
      </c>
      <c r="F18" s="3">
        <f>F17*((1+_xlfn.XLOOKUP(F$12,'Interest, etc. BI and EF'!$A$2:$A$11,'Interest, etc. BI and EF'!$C$2:$C$11))^(1/2)-1)</f>
        <v>-1676127.0675031501</v>
      </c>
      <c r="G18" s="3">
        <f>G17*((1+_xlfn.XLOOKUP(G$12,'Interest, etc. BI and EF'!$A$2:$A$11,'Interest, etc. BI and EF'!$C$2:$C$11))^(1/2)-1)</f>
        <v>-1609329.0332410852</v>
      </c>
      <c r="H18" s="3">
        <f>H17*((1+_xlfn.XLOOKUP(H$12,'Interest, etc. BI and EF'!$A$2:$A$11,'Interest, etc. BI and EF'!$C$2:$C$11))^(1/2)-1)</f>
        <v>-1535413.852893861</v>
      </c>
      <c r="I18" s="3">
        <f>I17*((1+_xlfn.XLOOKUP(I$12,'Interest, etc. BI and EF'!$A$2:$A$11,'Interest, etc. BI and EF'!$C$2:$C$11))^(1/2)-1)</f>
        <v>-1454607.1963532346</v>
      </c>
      <c r="J18" s="3">
        <f>J17*((1+_xlfn.XLOOKUP(J$12,'Interest, etc. BI and EF'!$A$2:$A$11,'Interest, etc. BI and EF'!$C$2:$C$11))^(1/2)-1)</f>
        <v>-1366910.9597623993</v>
      </c>
      <c r="K18" s="3">
        <f>K17*((1+_xlfn.XLOOKUP(K$12,'Interest, etc. BI and EF'!$A$2:$A$11,'Interest, etc. BI and EF'!$C$2:$C$11))^(1/2)-1)</f>
        <v>-1272192.5241001805</v>
      </c>
      <c r="L18" s="3">
        <f>L17*((1+_xlfn.XLOOKUP(L$12,'Interest, etc. BI and EF'!$A$2:$A$11,'Interest, etc. BI and EF'!$C$2:$C$11))^(1/2)-1)</f>
        <v>-1170236.3845970014</v>
      </c>
    </row>
    <row r="19" spans="1:12">
      <c r="B19" t="s">
        <v>28</v>
      </c>
      <c r="C19" s="13">
        <f>C17+C18</f>
        <v>9316398.1620514877</v>
      </c>
      <c r="D19" s="3">
        <f t="shared" ref="D19:L19" si="5">D17+D18</f>
        <v>19242586.153564967</v>
      </c>
      <c r="E19" s="13">
        <f t="shared" si="5"/>
        <v>29811659.368683472</v>
      </c>
      <c r="F19" s="3">
        <f t="shared" si="5"/>
        <v>-188580784.65786657</v>
      </c>
      <c r="G19" s="3">
        <f t="shared" si="5"/>
        <v>-180774077.16731998</v>
      </c>
      <c r="H19" s="3">
        <f t="shared" si="5"/>
        <v>-172307274.35176727</v>
      </c>
      <c r="I19" s="3">
        <f t="shared" si="5"/>
        <v>-163147204.50467539</v>
      </c>
      <c r="J19" s="3">
        <f t="shared" si="5"/>
        <v>-153260308.01630026</v>
      </c>
      <c r="K19" s="3">
        <f t="shared" si="5"/>
        <v>-142612263.57373297</v>
      </c>
      <c r="L19" s="13">
        <f t="shared" si="5"/>
        <v>-131167749.02767384</v>
      </c>
    </row>
    <row r="21" spans="1:12">
      <c r="A21" s="2"/>
      <c r="B21" s="2" t="s">
        <v>34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v>7</v>
      </c>
      <c r="J21">
        <v>8</v>
      </c>
      <c r="K21">
        <v>9</v>
      </c>
      <c r="L21">
        <v>10</v>
      </c>
    </row>
    <row r="22" spans="1:12">
      <c r="B22" t="s">
        <v>22</v>
      </c>
      <c r="C22" s="3">
        <v>0</v>
      </c>
      <c r="D22" s="3">
        <f>C28</f>
        <v>-4755399.7555989055</v>
      </c>
      <c r="E22" s="3">
        <f t="shared" ref="E22:L22" si="6">D28</f>
        <v>-9832416.3115640022</v>
      </c>
      <c r="F22" s="3">
        <f t="shared" si="6"/>
        <v>-15244686.967852339</v>
      </c>
      <c r="G22" s="3">
        <f t="shared" si="6"/>
        <v>-264353507.99602935</v>
      </c>
      <c r="H22" s="3">
        <f t="shared" si="6"/>
        <v>-274871300.55438697</v>
      </c>
      <c r="I22" s="3">
        <f t="shared" si="6"/>
        <v>-285853030.29603577</v>
      </c>
      <c r="J22" s="3">
        <f t="shared" si="6"/>
        <v>-297315029.27054757</v>
      </c>
      <c r="K22" s="3">
        <f t="shared" si="6"/>
        <v>-309274980.88648587</v>
      </c>
      <c r="L22" s="3">
        <f t="shared" si="6"/>
        <v>-321751673.35321808</v>
      </c>
    </row>
    <row r="23" spans="1:12">
      <c r="B23" t="s">
        <v>23</v>
      </c>
      <c r="C23" s="4">
        <v>108505130</v>
      </c>
      <c r="D23" s="3">
        <f>$C23*_xlfn.XLOOKUP(D21,'Interest, etc. BI and EF'!$A$2:$A$11,'Interest, etc. BI and EF'!$I$2:$I$11)</f>
        <v>113724109.11425339</v>
      </c>
      <c r="E23" s="3">
        <f>$C23*_xlfn.XLOOKUP(E21,'Interest, etc. BI and EF'!$A$2:$A$11,'Interest, etc. BI and EF'!$I$2:$I$11)</f>
        <v>119163677.11160955</v>
      </c>
      <c r="F23" s="3">
        <f>$C23*_xlfn.XLOOKUP(F21,'Interest, etc. BI and EF'!$A$2:$A$11,'Interest, etc. BI and EF'!$I$2:$I$11)</f>
        <v>124821192.54288398</v>
      </c>
      <c r="G23" s="3">
        <f>$C23*_xlfn.XLOOKUP(G21,'Interest, etc. BI and EF'!$A$2:$A$11,'Interest, etc. BI and EF'!$I$2:$I$11)</f>
        <v>130697688.54153197</v>
      </c>
      <c r="H23" s="3">
        <f>$C23*_xlfn.XLOOKUP(H21,'Interest, etc. BI and EF'!$A$2:$A$11,'Interest, etc. BI and EF'!$I$2:$I$11)</f>
        <v>136796563.27179992</v>
      </c>
      <c r="I23" s="3">
        <f>$C23*_xlfn.XLOOKUP(I21,'Interest, etc. BI and EF'!$A$2:$A$11,'Interest, etc. BI and EF'!$I$2:$I$11)</f>
        <v>143122769.56121227</v>
      </c>
      <c r="J23" s="3">
        <f>$C23*_xlfn.XLOOKUP(J21,'Interest, etc. BI and EF'!$A$2:$A$11,'Interest, etc. BI and EF'!$I$2:$I$11)</f>
        <v>149682314.49980772</v>
      </c>
      <c r="K23" s="3">
        <f>$C23*_xlfn.XLOOKUP(K21,'Interest, etc. BI and EF'!$A$2:$A$11,'Interest, etc. BI and EF'!$I$2:$I$11)</f>
        <v>156481950.62809771</v>
      </c>
      <c r="L23" s="3">
        <f>$C23*_xlfn.XLOOKUP(L21,'Interest, etc. BI and EF'!$A$2:$A$11,'Interest, etc. BI and EF'!$I$2:$I$11)</f>
        <v>163528987.26561838</v>
      </c>
    </row>
    <row r="24" spans="1:12">
      <c r="B24" t="s">
        <v>30</v>
      </c>
      <c r="C24" s="3">
        <f>(C22+C23)*((1+_xlfn.XLOOKUP(C$21,'Interest, etc. BI and EF'!$A$2:$A$11,'Interest, etc. BI and EF'!$C$2:$C$11))^(1/2)-1)</f>
        <v>958223.29282650084</v>
      </c>
      <c r="D24" s="3">
        <f>(D22+D23)*((1+_xlfn.XLOOKUP(D$21,'Interest, etc. BI and EF'!$A$2:$A$11,'Interest, etc. BI and EF'!$C$2:$C$11))^(1/2)-1)</f>
        <v>969988.11464679497</v>
      </c>
      <c r="E24" s="3">
        <f>(E22+E23)*((1+_xlfn.XLOOKUP(E$21,'Interest, etc. BI and EF'!$A$2:$A$11,'Interest, etc. BI and EF'!$C$2:$C$11))^(1/2)-1)</f>
        <v>977768.84867184283</v>
      </c>
      <c r="F24" s="3">
        <f>(F22+F23)*((1+_xlfn.XLOOKUP(F$21,'Interest, etc. BI and EF'!$A$2:$A$11,'Interest, etc. BI and EF'!$C$2:$C$11))^(1/2)-1)</f>
        <v>982662.22642377776</v>
      </c>
      <c r="G24" s="3">
        <f>(G22+G23)*((1+_xlfn.XLOOKUP(G$21,'Interest, etc. BI and EF'!$A$2:$A$11,'Interest, etc. BI and EF'!$C$2:$C$11))^(1/2)-1)</f>
        <v>-1200549.7339732419</v>
      </c>
      <c r="H24" s="3">
        <f>(H22+H23)*((1+_xlfn.XLOOKUP(H$21,'Interest, etc. BI and EF'!$A$2:$A$11,'Interest, etc. BI and EF'!$C$2:$C$11))^(1/2)-1)</f>
        <v>-1241433.2416303633</v>
      </c>
      <c r="I24" s="3">
        <f>(I22+I23)*((1+_xlfn.XLOOKUP(I$21,'Interest, etc. BI and EF'!$A$2:$A$11,'Interest, etc. BI and EF'!$C$2:$C$11))^(1/2)-1)</f>
        <v>-1284019.6017530479</v>
      </c>
      <c r="J24" s="3">
        <f>(J22+J23)*((1+_xlfn.XLOOKUP(J$21,'Interest, etc. BI and EF'!$A$2:$A$11,'Interest, etc. BI and EF'!$C$2:$C$11))^(1/2)-1)</f>
        <v>-1328568.4549176691</v>
      </c>
      <c r="K24" s="3">
        <f>(K22+K23)*((1+_xlfn.XLOOKUP(K$21,'Interest, etc. BI and EF'!$A$2:$A$11,'Interest, etc. BI and EF'!$C$2:$C$11))^(1/2)-1)</f>
        <v>-1375279.8437541123</v>
      </c>
      <c r="L24" s="3">
        <f>(L22+L23)*((1+_xlfn.XLOOKUP(L$21,'Interest, etc. BI and EF'!$A$2:$A$11,'Interest, etc. BI and EF'!$C$2:$C$11))^(1/2)-1)</f>
        <v>-1424319.1301417546</v>
      </c>
    </row>
    <row r="25" spans="1:12">
      <c r="B25" t="s">
        <v>25</v>
      </c>
      <c r="C25" s="4">
        <f>112811760*_xlfn.XLOOKUP(C21,'Interest, etc. BI and EF'!$A$2:$A$11,'Interest, etc. BI and EF'!$L$2:$L$11)</f>
        <v>114177125.10011721</v>
      </c>
      <c r="D25" s="5">
        <f>$C25*_xlfn.XLOOKUP(D21,'Interest, etc. BI and EF'!$A$2:$A$11,'Interest, etc. BI and EF'!$L$2:$L$11)/_xlfn.XLOOKUP($C21,'Interest, etc. BI and EF'!$A$2:$A$11,'Interest, etc. BI and EF'!$L$2:$L$11)</f>
        <v>119684362.46636078</v>
      </c>
      <c r="E25" s="5">
        <f>$C25*_xlfn.XLOOKUP(E21,'Interest, etc. BI and EF'!$A$2:$A$11,'Interest, etc. BI and EF'!$L$2:$L$11)/_xlfn.XLOOKUP($C21,'Interest, etc. BI and EF'!$A$2:$A$11,'Interest, etc. BI and EF'!$L$2:$L$11)</f>
        <v>125418589.14720128</v>
      </c>
      <c r="F25" s="4">
        <f>316058228*_xlfn.XLOOKUP(F21,'Interest, etc. BI and EF'!$A$2:$A$11,'Interest, etc. BI and EF'!$M$2:$M$11)</f>
        <v>372563072.30556256</v>
      </c>
      <c r="G25" s="5">
        <f>$C25*_xlfn.XLOOKUP(G21,'Interest, etc. BI and EF'!$A$2:$A$11,'Interest, etc. BI and EF'!$L$2:$L$11)/_xlfn.XLOOKUP($C21,'Interest, etc. BI and EF'!$A$2:$A$11,'Interest, etc. BI and EF'!$L$2:$L$11)</f>
        <v>137567908.14600265</v>
      </c>
      <c r="H25" s="5">
        <f>$C25*_xlfn.XLOOKUP(H21,'Interest, etc. BI and EF'!$A$2:$A$11,'Interest, etc. BI and EF'!$L$2:$L$11)/_xlfn.XLOOKUP($C21,'Interest, etc. BI and EF'!$A$2:$A$11,'Interest, etc. BI and EF'!$L$2:$L$11)</f>
        <v>143989650.40843305</v>
      </c>
      <c r="I25" s="5">
        <f>$C25*_xlfn.XLOOKUP(I21,'Interest, etc. BI and EF'!$A$2:$A$11,'Interest, etc. BI and EF'!$L$2:$L$11)/_xlfn.XLOOKUP($C21,'Interest, etc. BI and EF'!$A$2:$A$11,'Interest, etc. BI and EF'!$L$2:$L$11)</f>
        <v>150649912.33230236</v>
      </c>
      <c r="J25" s="5">
        <f>$C25*_xlfn.XLOOKUP(J21,'Interest, etc. BI and EF'!$A$2:$A$11,'Interest, etc. BI and EF'!$L$2:$L$11)/_xlfn.XLOOKUP($C21,'Interest, etc. BI and EF'!$A$2:$A$11,'Interest, etc. BI and EF'!$L$2:$L$11)</f>
        <v>157555309.87976581</v>
      </c>
      <c r="K25" s="5">
        <f>$C25*_xlfn.XLOOKUP(K21,'Interest, etc. BI and EF'!$A$2:$A$11,'Interest, etc. BI and EF'!$L$2:$L$11)/_xlfn.XLOOKUP($C21,'Interest, etc. BI and EF'!$A$2:$A$11,'Interest, etc. BI and EF'!$L$2:$L$11)</f>
        <v>164713132.71690398</v>
      </c>
      <c r="L25" s="5">
        <f>$C25*_xlfn.XLOOKUP(L21,'Interest, etc. BI and EF'!$A$2:$A$11,'Interest, etc. BI and EF'!$L$2:$L$11)/_xlfn.XLOOKUP($C21,'Interest, etc. BI and EF'!$A$2:$A$11,'Interest, etc. BI and EF'!$L$2:$L$11)</f>
        <v>172131187.2552624</v>
      </c>
    </row>
    <row r="26" spans="1:12">
      <c r="B26" t="s">
        <v>26</v>
      </c>
      <c r="C26" s="3">
        <f>C22+C23+C24-C25</f>
        <v>-4713771.8072907031</v>
      </c>
      <c r="D26" s="3">
        <f t="shared" ref="D26:L26" si="7">D22+D23+D24-D25</f>
        <v>-9745664.9930595011</v>
      </c>
      <c r="E26" s="3">
        <f t="shared" si="7"/>
        <v>-15109559.498483896</v>
      </c>
      <c r="F26" s="3">
        <f t="shared" si="7"/>
        <v>-262003904.50410712</v>
      </c>
      <c r="G26" s="3">
        <f t="shared" si="7"/>
        <v>-272424277.33447325</v>
      </c>
      <c r="H26" s="3">
        <f t="shared" si="7"/>
        <v>-283305820.93265045</v>
      </c>
      <c r="I26" s="3">
        <f t="shared" si="7"/>
        <v>-294664192.66887891</v>
      </c>
      <c r="J26" s="3">
        <f t="shared" si="7"/>
        <v>-306516593.10542333</v>
      </c>
      <c r="K26" s="3">
        <f t="shared" si="7"/>
        <v>-318881442.81904626</v>
      </c>
      <c r="L26" s="3">
        <f t="shared" si="7"/>
        <v>-331778192.47300386</v>
      </c>
    </row>
    <row r="27" spans="1:12">
      <c r="B27" t="s">
        <v>27</v>
      </c>
      <c r="C27" s="3">
        <f>C26*((1+_xlfn.XLOOKUP(C$21,'Interest, etc. BI and EF'!$A$2:$A$11,'Interest, etc. BI and EF'!$C$2:$C$11))^(1/2)-1)</f>
        <v>-41627.948308202787</v>
      </c>
      <c r="D27" s="3">
        <f>D26*((1+_xlfn.XLOOKUP(D$21,'Interest, etc. BI and EF'!$A$2:$A$11,'Interest, etc. BI and EF'!$C$2:$C$11))^(1/2)-1)</f>
        <v>-86751.318504501207</v>
      </c>
      <c r="E27" s="3">
        <f>E26*((1+_xlfn.XLOOKUP(E$21,'Interest, etc. BI and EF'!$A$2:$A$11,'Interest, etc. BI and EF'!$C$2:$C$11))^(1/2)-1)</f>
        <v>-135127.46936844208</v>
      </c>
      <c r="F27" s="3">
        <f>F26*((1+_xlfn.XLOOKUP(F$21,'Interest, etc. BI and EF'!$A$2:$A$11,'Interest, etc. BI and EF'!$C$2:$C$11))^(1/2)-1)</f>
        <v>-2349603.4919222184</v>
      </c>
      <c r="G27" s="3">
        <f>G26*((1+_xlfn.XLOOKUP(G$21,'Interest, etc. BI and EF'!$A$2:$A$11,'Interest, etc. BI and EF'!$C$2:$C$11))^(1/2)-1)</f>
        <v>-2447023.2199137462</v>
      </c>
      <c r="H27" s="3">
        <f>H26*((1+_xlfn.XLOOKUP(H$21,'Interest, etc. BI and EF'!$A$2:$A$11,'Interest, etc. BI and EF'!$C$2:$C$11))^(1/2)-1)</f>
        <v>-2547209.3633853029</v>
      </c>
      <c r="I27" s="3">
        <f>I26*((1+_xlfn.XLOOKUP(I$21,'Interest, etc. BI and EF'!$A$2:$A$11,'Interest, etc. BI and EF'!$C$2:$C$11))^(1/2)-1)</f>
        <v>-2650836.6016686321</v>
      </c>
      <c r="J27" s="3">
        <f>J26*((1+_xlfn.XLOOKUP(J$21,'Interest, etc. BI and EF'!$A$2:$A$11,'Interest, etc. BI and EF'!$C$2:$C$11))^(1/2)-1)</f>
        <v>-2758387.7810625411</v>
      </c>
      <c r="K27" s="3">
        <f>K26*((1+_xlfn.XLOOKUP(K$21,'Interest, etc. BI and EF'!$A$2:$A$11,'Interest, etc. BI and EF'!$C$2:$C$11))^(1/2)-1)</f>
        <v>-2870230.5341718155</v>
      </c>
      <c r="L27" s="3">
        <f>L26*((1+_xlfn.XLOOKUP(L$21,'Interest, etc. BI and EF'!$A$2:$A$11,'Interest, etc. BI and EF'!$C$2:$C$11))^(1/2)-1)</f>
        <v>-2986664.1642117086</v>
      </c>
    </row>
    <row r="28" spans="1:12">
      <c r="B28" t="s">
        <v>28</v>
      </c>
      <c r="C28" s="13">
        <f>C26+C27</f>
        <v>-4755399.7555989055</v>
      </c>
      <c r="D28" s="3">
        <f t="shared" ref="D28:L28" si="8">D26+D27</f>
        <v>-9832416.3115640022</v>
      </c>
      <c r="E28" s="13">
        <f t="shared" si="8"/>
        <v>-15244686.967852339</v>
      </c>
      <c r="F28" s="3">
        <f t="shared" si="8"/>
        <v>-264353507.99602935</v>
      </c>
      <c r="G28" s="3">
        <f t="shared" si="8"/>
        <v>-274871300.55438697</v>
      </c>
      <c r="H28" s="3">
        <f t="shared" si="8"/>
        <v>-285853030.29603577</v>
      </c>
      <c r="I28" s="3">
        <f t="shared" si="8"/>
        <v>-297315029.27054757</v>
      </c>
      <c r="J28" s="3">
        <f t="shared" si="8"/>
        <v>-309274980.88648587</v>
      </c>
      <c r="K28" s="3">
        <f t="shared" si="8"/>
        <v>-321751673.35321808</v>
      </c>
      <c r="L28" s="13">
        <f t="shared" si="8"/>
        <v>-334764856.63721555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D627-5419-4CA0-9039-6F09151A3005}">
  <dimension ref="A1:N31"/>
  <sheetViews>
    <sheetView topLeftCell="B1" workbookViewId="0">
      <selection activeCell="N5" sqref="N5"/>
    </sheetView>
  </sheetViews>
  <sheetFormatPr defaultRowHeight="14.45"/>
  <cols>
    <col min="1" max="1" width="7.42578125" bestFit="1" customWidth="1"/>
    <col min="2" max="2" width="5.42578125" bestFit="1" customWidth="1"/>
    <col min="3" max="3" width="12.5703125" bestFit="1" customWidth="1"/>
    <col min="4" max="4" width="13.7109375" bestFit="1" customWidth="1"/>
    <col min="5" max="5" width="22.28515625" bestFit="1" customWidth="1"/>
    <col min="6" max="6" width="17.85546875" bestFit="1" customWidth="1"/>
    <col min="7" max="7" width="25.140625" bestFit="1" customWidth="1"/>
    <col min="8" max="8" width="19.7109375" bestFit="1" customWidth="1"/>
    <col min="9" max="9" width="33.5703125" bestFit="1" customWidth="1"/>
    <col min="10" max="10" width="20.85546875" bestFit="1" customWidth="1"/>
    <col min="11" max="11" width="15.42578125" bestFit="1" customWidth="1"/>
    <col min="12" max="12" width="29.28515625" bestFit="1" customWidth="1"/>
    <col min="13" max="13" width="22.140625" bestFit="1" customWidth="1"/>
  </cols>
  <sheetData>
    <row r="1" spans="1:14">
      <c r="A1" t="s">
        <v>35</v>
      </c>
      <c r="B1" t="s">
        <v>17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4">
      <c r="A2">
        <v>1</v>
      </c>
      <c r="B2">
        <v>2175</v>
      </c>
      <c r="C2" s="7">
        <v>1.7740255999999999E-2</v>
      </c>
      <c r="D2" s="8">
        <v>2.4352561000000002E-2</v>
      </c>
      <c r="E2">
        <v>1.0249999999999999</v>
      </c>
      <c r="F2">
        <v>1.0149999999999999</v>
      </c>
      <c r="G2">
        <v>1</v>
      </c>
      <c r="H2">
        <v>1</v>
      </c>
      <c r="I2">
        <v>1</v>
      </c>
      <c r="J2">
        <f>(1+D2)^(1/2)</f>
        <v>1.0121030387267889</v>
      </c>
      <c r="K2">
        <f>(1+D2)^(1/2)</f>
        <v>1.0121030387267889</v>
      </c>
      <c r="L2">
        <f>(1+D2)^(1/2)</f>
        <v>1.0121030387267889</v>
      </c>
    </row>
    <row r="3" spans="1:14">
      <c r="A3">
        <v>2</v>
      </c>
      <c r="B3">
        <v>2176</v>
      </c>
      <c r="C3">
        <v>1.7882294999999999E-2</v>
      </c>
      <c r="D3" s="8">
        <v>2.4616932000000001E-2</v>
      </c>
      <c r="E3">
        <v>1.05</v>
      </c>
      <c r="F3">
        <v>1.03</v>
      </c>
      <c r="G3" cm="1">
        <f t="array" ref="G3">PRODUCT(1+$D$2:D2)*E2</f>
        <v>1.0499613750249999</v>
      </c>
      <c r="H3" cm="1">
        <f t="array" ref="H3">PRODUCT(1+$D$2:D2)*F2</f>
        <v>1.0397178494149999</v>
      </c>
      <c r="I3" cm="1">
        <f t="array" ref="I3">PRODUCT(1+D2:$D$2)*(1+($J$22*A2))</f>
        <v>1.0480989158231817</v>
      </c>
      <c r="J3" cm="1">
        <f t="array" ref="J3">PRODUCT(1+$D$2:D2)*((1+D3)^(1/2))*E2</f>
        <v>1.0628062193417527</v>
      </c>
      <c r="K3" cm="1">
        <f t="array" ref="K3">PRODUCT(1+$D$2:D2)*((1+D3)^(1/2))*F2</f>
        <v>1.052437378177443</v>
      </c>
      <c r="L3" cm="1">
        <f t="array" ref="L3">PRODUCT(1+$D$2:D2)*((1+D3)^(1/2))*(1+($J$22*A2))</f>
        <v>1.0609209754936966</v>
      </c>
    </row>
    <row r="4" spans="1:14">
      <c r="A4">
        <v>3</v>
      </c>
      <c r="B4">
        <v>2177</v>
      </c>
      <c r="C4">
        <v>1.7966335E-2</v>
      </c>
      <c r="D4" s="8">
        <v>2.4773351999999998E-2</v>
      </c>
      <c r="E4">
        <v>1.075</v>
      </c>
      <c r="F4">
        <v>1.0449999999999999</v>
      </c>
      <c r="G4" cm="1">
        <f t="array" ref="G4">PRODUCT(1+$D$2:D3)*E3</f>
        <v>1.1020474272550709</v>
      </c>
      <c r="H4" cm="1">
        <f t="array" ref="H4">PRODUCT(1+$D$2:D3)*F3</f>
        <v>1.0810560476883078</v>
      </c>
      <c r="I4" cm="1">
        <f t="array" ref="I4">PRODUCT(1+D$2:$D3)*(1+($J$22*A3))</f>
        <v>1.0982308127883866</v>
      </c>
      <c r="J4" cm="1">
        <f t="array" ref="J4">PRODUCT(1+$D$2:D3)*((1+D4)^(1/2))*E3</f>
        <v>1.1156146195204537</v>
      </c>
      <c r="K4" cm="1">
        <f t="array" ref="K4">PRODUCT(1+$D$2:D3)*((1+D4)^(1/2))*F3</f>
        <v>1.0943648172438736</v>
      </c>
      <c r="L4" cm="1">
        <f t="array" ref="L4">PRODUCT(1+$D$2:D3)*((1+D4)^(1/2))*(1+($J$22*A3))</f>
        <v>1.1117510191065301</v>
      </c>
    </row>
    <row r="5" spans="1:14">
      <c r="A5">
        <v>4</v>
      </c>
      <c r="B5">
        <v>2178</v>
      </c>
      <c r="C5">
        <v>1.8016059000000001E-2</v>
      </c>
      <c r="D5" s="8">
        <v>2.48659E-2</v>
      </c>
      <c r="E5">
        <v>1.1000000000000001</v>
      </c>
      <c r="F5">
        <v>1.06</v>
      </c>
      <c r="G5" cm="1">
        <f t="array" ref="G5">PRODUCT(1+$D$2:D4)*E4</f>
        <v>1.1562380940933252</v>
      </c>
      <c r="H5" cm="1">
        <f t="array" ref="H5">PRODUCT(1+$D$2:D4)*F4</f>
        <v>1.1239709844907209</v>
      </c>
      <c r="I5" cm="1">
        <f t="array" ref="I5">PRODUCT(1+D$2:$D4)*(1+($J$22*A4))</f>
        <v>1.1503713468928518</v>
      </c>
      <c r="J5" cm="1">
        <f t="array" ref="J5">PRODUCT(1+$D$2:D4)*((1+D5)^(1/2))*E4</f>
        <v>1.1705252739709107</v>
      </c>
      <c r="K5" cm="1">
        <f t="array" ref="K5">PRODUCT(1+$D$2:D4)*((1+D5)^(1/2))*F4</f>
        <v>1.1378594523717223</v>
      </c>
      <c r="L5" cm="1">
        <f t="array" ref="L5">PRODUCT(1+$D$2:D4)*((1+D5)^(1/2))*(1+($J$22*A4))</f>
        <v>1.1645860336801492</v>
      </c>
      <c r="M5" cm="1">
        <f t="array" ref="M5">PRODUCT(1+$D$2:D4)*((1+0.05)^(1/2))*(1+($J$22*A4))</f>
        <v>1.1787798554181685</v>
      </c>
      <c r="N5" t="s">
        <v>47</v>
      </c>
    </row>
    <row r="6" spans="1:14">
      <c r="A6">
        <v>5</v>
      </c>
      <c r="B6">
        <v>2179</v>
      </c>
      <c r="C6">
        <v>1.8045479E-2</v>
      </c>
      <c r="D6" s="8">
        <v>2.4920657999999998E-2</v>
      </c>
      <c r="E6">
        <v>1.125</v>
      </c>
      <c r="F6">
        <v>1.075</v>
      </c>
      <c r="G6" cm="1">
        <f t="array" ref="G6">PRODUCT(1+$D$2:D5)*E5</f>
        <v>1.2125468785199671</v>
      </c>
      <c r="H6" cm="1">
        <f t="array" ref="H6">PRODUCT(1+$D$2:D5)*F5</f>
        <v>1.1684542647556047</v>
      </c>
      <c r="I6" cm="1">
        <f t="array" ref="I6">PRODUCT(1+D$2:$D5)*(1+($J$22*A5))</f>
        <v>1.2045300396537193</v>
      </c>
      <c r="J6" cm="1">
        <f t="array" ref="J6">PRODUCT(1+$D$2:D5)*((1+D6)^(1/2))*E5</f>
        <v>1.2275626365960868</v>
      </c>
      <c r="K6" cm="1">
        <f t="array" ref="K6">PRODUCT(1+$D$2:D5)*((1+D6)^(1/2))*F5</f>
        <v>1.1829239952653199</v>
      </c>
      <c r="L6" cm="1">
        <f t="array" ref="L6">PRODUCT(1+$D$2:D5)*((1+D6)^(1/2))*(1+($J$22*A5))</f>
        <v>1.2194465199904927</v>
      </c>
    </row>
    <row r="7" spans="1:14">
      <c r="A7">
        <v>6</v>
      </c>
      <c r="B7">
        <v>2180</v>
      </c>
      <c r="C7">
        <v>1.8062886E-2</v>
      </c>
      <c r="D7" s="8">
        <v>2.4953056000000001E-2</v>
      </c>
      <c r="E7">
        <v>1.1499999999999999</v>
      </c>
      <c r="F7">
        <v>1.0900000000000001</v>
      </c>
      <c r="G7" cm="1">
        <f t="array" ref="G7">PRODUCT(1+$D$2:D6)*E6</f>
        <v>1.2710089887837246</v>
      </c>
      <c r="H7" cm="1">
        <f t="array" ref="H7">PRODUCT(1+$D$2:D6)*F6</f>
        <v>1.2145197003933368</v>
      </c>
      <c r="I7" cm="1">
        <f t="array" ref="I7">PRODUCT(1+D$2:$D6)*(1+($J$22*A6))</f>
        <v>1.2607382090763812</v>
      </c>
      <c r="J7" cm="1">
        <f t="array" ref="J7">PRODUCT(1+$D$2:D6)*((1+D7)^(1/2))*E6</f>
        <v>1.286769058329154</v>
      </c>
      <c r="K7" cm="1">
        <f t="array" ref="K7">PRODUCT(1+$D$2:D6)*((1+D7)^(1/2))*F6</f>
        <v>1.2295793224034139</v>
      </c>
      <c r="L7" cm="1">
        <f t="array" ref="L7">PRODUCT(1+$D$2:D6)*((1+D7)^(1/2))*(1+($J$22*A6))</f>
        <v>1.2763709245244739</v>
      </c>
    </row>
    <row r="8" spans="1:14">
      <c r="A8">
        <v>7</v>
      </c>
      <c r="B8">
        <v>2181</v>
      </c>
      <c r="C8">
        <v>1.8073184999999999E-2</v>
      </c>
      <c r="D8" s="8">
        <v>2.4972225000000001E-2</v>
      </c>
      <c r="E8">
        <v>1.175</v>
      </c>
      <c r="F8">
        <v>1.105</v>
      </c>
      <c r="G8" cm="1">
        <f t="array" ref="G8">PRODUCT(1+$D$2:D7)*E7</f>
        <v>1.3316739816408447</v>
      </c>
      <c r="H8" cm="1">
        <f t="array" ref="H8">PRODUCT(1+$D$2:D7)*F7</f>
        <v>1.262195339120453</v>
      </c>
      <c r="I8" cm="1">
        <f t="array" ref="I8">PRODUCT(1+D$2:$D7)*(1+($J$22*A7))</f>
        <v>1.3190415011825918</v>
      </c>
      <c r="J8" cm="1">
        <f t="array" ref="J8">PRODUCT(1+$D$2:D7)*((1+D8)^(1/2))*E7</f>
        <v>1.3481988830517753</v>
      </c>
      <c r="K8" cm="1">
        <f t="array" ref="K8">PRODUCT(1+$D$2:D7)*((1+D8)^(1/2))*F7</f>
        <v>1.2778580717621177</v>
      </c>
      <c r="L8" cm="1">
        <f t="array" ref="L8">PRODUCT(1+$D$2:D7)*((1+D8)^(1/2))*(1+($J$22*A7))</f>
        <v>1.335409644635474</v>
      </c>
    </row>
    <row r="9" spans="1:14">
      <c r="A9">
        <v>8</v>
      </c>
      <c r="B9">
        <v>2182</v>
      </c>
      <c r="C9">
        <v>1.8079278000000001E-2</v>
      </c>
      <c r="D9" s="8">
        <v>2.4983565999999999E-2</v>
      </c>
      <c r="E9">
        <v>1.2</v>
      </c>
      <c r="F9">
        <v>1.1200000000000001</v>
      </c>
      <c r="G9" cm="1">
        <f t="array" ref="G9">PRODUCT(1+$D$2:D8)*E8</f>
        <v>1.3946012101095699</v>
      </c>
      <c r="H9" cm="1">
        <f t="array" ref="H9">PRODUCT(1+$D$2:D8)*F8</f>
        <v>1.3115185848264466</v>
      </c>
      <c r="I9" cm="1">
        <f t="array" ref="I9">PRODUCT(1+D$2:$D8)*(1+($J$22*A8))</f>
        <v>1.379495278239911</v>
      </c>
      <c r="J9" cm="1">
        <f t="array" ref="J9">PRODUCT(1+$D$2:D8)*((1+D9)^(1/2))*E8</f>
        <v>1.4119147941456842</v>
      </c>
      <c r="K9" cm="1">
        <f t="array" ref="K9">PRODUCT(1+$D$2:D8)*((1+D9)^(1/2))*F8</f>
        <v>1.3278007213029626</v>
      </c>
      <c r="L9" cm="1">
        <f t="array" ref="L9">PRODUCT(1+$D$2:D8)*((1+D9)^(1/2))*(1+($J$22*A8))</f>
        <v>1.3966213263560983</v>
      </c>
    </row>
    <row r="10" spans="1:14">
      <c r="A10">
        <v>9</v>
      </c>
      <c r="B10">
        <v>2183</v>
      </c>
      <c r="C10">
        <v>1.8082883000000001E-2</v>
      </c>
      <c r="D10" s="8">
        <v>2.4990277000000002E-2</v>
      </c>
      <c r="E10">
        <v>1.2250000000000001</v>
      </c>
      <c r="F10">
        <v>1.135</v>
      </c>
      <c r="G10" cm="1">
        <f t="array" ref="G10">PRODUCT(1+$D$2:D9)*E9</f>
        <v>1.4598570091772141</v>
      </c>
      <c r="H10" cm="1">
        <f t="array" ref="H10">PRODUCT(1+$D$2:D9)*F9</f>
        <v>1.3625332085653998</v>
      </c>
      <c r="I10" cm="1">
        <f t="array" ref="I10">PRODUCT(1+D$2:$D9)*(1+($J$22*A9))</f>
        <v>1.4421617727023386</v>
      </c>
      <c r="J10" cm="1">
        <f t="array" ref="J10">PRODUCT(1+$D$2:D9)*((1+D10)^(1/2))*E9</f>
        <v>1.4779855641844453</v>
      </c>
      <c r="K10" cm="1">
        <f t="array" ref="K10">PRODUCT(1+$D$2:D9)*((1+D10)^(1/2))*F9</f>
        <v>1.3794531932388159</v>
      </c>
      <c r="L10" cm="1">
        <f t="array" ref="L10">PRODUCT(1+$D$2:D9)*((1+D10)^(1/2))*(1+($J$22*A9))</f>
        <v>1.4600705876488762</v>
      </c>
    </row>
    <row r="11" spans="1:14">
      <c r="A11">
        <v>10</v>
      </c>
      <c r="B11">
        <v>2184</v>
      </c>
      <c r="C11">
        <v>1.8085016999999998E-2</v>
      </c>
      <c r="D11" s="8">
        <v>2.4994247000000001E-2</v>
      </c>
      <c r="E11">
        <v>1.25</v>
      </c>
      <c r="F11">
        <v>1.1499999999999999</v>
      </c>
      <c r="G11" cm="1">
        <f t="array" ref="G11">PRODUCT(1+$D$2:D10)*E10</f>
        <v>1.5275129743881306</v>
      </c>
      <c r="H11" cm="1">
        <f t="array" ref="H11">PRODUCT(1+$D$2:D10)*F10</f>
        <v>1.4152875313718596</v>
      </c>
      <c r="I11" cm="1">
        <f t="array" ref="I11">PRODUCT(1+D$2:$D10)*(1+($J$22*A10))</f>
        <v>1.5071083483851719</v>
      </c>
      <c r="J11" cm="1">
        <f t="array" ref="J11">PRODUCT(1+$D$2:D10)*((1+D11)^(1/2))*E10</f>
        <v>1.5464846784387931</v>
      </c>
      <c r="K11" cm="1">
        <f t="array" ref="K11">PRODUCT(1+$D$2:D10)*((1+D11)^(1/2))*F10</f>
        <v>1.432865395941249</v>
      </c>
      <c r="L11" cm="1">
        <f t="array" ref="L11">PRODUCT(1+$D$2:D10)*((1+D11)^(1/2))*(1+($J$22*A10))</f>
        <v>1.5258266270756029</v>
      </c>
    </row>
    <row r="16" spans="1:14">
      <c r="G16" t="s">
        <v>48</v>
      </c>
    </row>
    <row r="17" spans="7:10">
      <c r="G17" s="14" t="s">
        <v>49</v>
      </c>
      <c r="H17" s="15" t="s">
        <v>50</v>
      </c>
      <c r="I17" s="15" t="s">
        <v>51</v>
      </c>
      <c r="J17" s="15" t="s">
        <v>52</v>
      </c>
    </row>
    <row r="18" spans="7:10">
      <c r="H18" s="12">
        <v>2580</v>
      </c>
      <c r="I18" s="12">
        <v>1290</v>
      </c>
      <c r="J18" s="12">
        <v>860</v>
      </c>
    </row>
    <row r="19" spans="7:10">
      <c r="H19">
        <v>1.25</v>
      </c>
      <c r="I19">
        <v>1.25</v>
      </c>
      <c r="J19">
        <v>1.1499999999999999</v>
      </c>
    </row>
    <row r="21" spans="7:10">
      <c r="I21" t="s">
        <v>53</v>
      </c>
      <c r="J21">
        <f>(H18*H19)/(H18+I18+J18)+(I18*I19)/(H18+I18+J18)+(J19*J18)/(H18+I18+J18)</f>
        <v>1.2318181818181817</v>
      </c>
    </row>
    <row r="22" spans="7:10">
      <c r="J22">
        <f>(J21-1)/10</f>
        <v>2.3181818181818171E-2</v>
      </c>
    </row>
    <row r="23" spans="7:10">
      <c r="G23" t="s">
        <v>54</v>
      </c>
    </row>
    <row r="24" spans="7:10">
      <c r="H24" t="s">
        <v>55</v>
      </c>
      <c r="I24" t="s">
        <v>56</v>
      </c>
      <c r="J24" t="s">
        <v>57</v>
      </c>
    </row>
    <row r="25" spans="7:10">
      <c r="H25">
        <v>30</v>
      </c>
      <c r="I25">
        <v>15</v>
      </c>
      <c r="J25">
        <v>10</v>
      </c>
    </row>
    <row r="26" spans="7:10">
      <c r="H26">
        <v>1.25</v>
      </c>
      <c r="I26">
        <v>1.25</v>
      </c>
      <c r="J26">
        <v>1.1499999999999999</v>
      </c>
    </row>
    <row r="28" spans="7:10">
      <c r="J28">
        <f>(H25*H26)/(H25+I25+J25)+(I25*I26)/(H25+I25+J25)+(J26*J25)/(H25+I25+J25)</f>
        <v>1.2318181818181817</v>
      </c>
    </row>
    <row r="29" spans="7:10">
      <c r="J29">
        <f>(J28-1)/10</f>
        <v>2.3181818181818171E-2</v>
      </c>
    </row>
    <row r="30" spans="7:10">
      <c r="J30" t="b">
        <f>J22=J29</f>
        <v>1</v>
      </c>
    </row>
    <row r="31" spans="7:10">
      <c r="J3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4D4E-58D0-4F1B-9A99-D1C9BA88C2E5}">
  <dimension ref="A1:M36"/>
  <sheetViews>
    <sheetView zoomScaleNormal="100" workbookViewId="0">
      <selection activeCell="F27" sqref="F27"/>
    </sheetView>
  </sheetViews>
  <sheetFormatPr defaultColWidth="8.85546875" defaultRowHeight="14.45"/>
  <cols>
    <col min="1" max="1" width="31.28515625" bestFit="1" customWidth="1"/>
    <col min="2" max="2" width="37.42578125" bestFit="1" customWidth="1"/>
    <col min="3" max="9" width="17.7109375" bestFit="1" customWidth="1"/>
    <col min="10" max="13" width="17.28515625" bestFit="1" customWidth="1"/>
    <col min="14" max="14" width="14.140625" customWidth="1"/>
  </cols>
  <sheetData>
    <row r="1" spans="1:13">
      <c r="A1" s="9" t="s">
        <v>59</v>
      </c>
    </row>
    <row r="2" spans="1:13">
      <c r="A2" s="2"/>
      <c r="B2" s="2" t="s">
        <v>32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</row>
    <row r="3" spans="1:13">
      <c r="B3" t="s">
        <v>22</v>
      </c>
      <c r="C3" s="4">
        <v>0</v>
      </c>
      <c r="D3" s="3">
        <f>C9</f>
        <v>8558981.3071171641</v>
      </c>
      <c r="E3" s="3">
        <f t="shared" ref="E3:M3" si="0">D9</f>
        <v>17681043.09630258</v>
      </c>
      <c r="F3" s="3">
        <f t="shared" si="0"/>
        <v>27394988.538116992</v>
      </c>
      <c r="G3" s="3">
        <f t="shared" si="0"/>
        <v>37489572.11855612</v>
      </c>
      <c r="H3" s="3">
        <f t="shared" si="0"/>
        <v>48468189.313310668</v>
      </c>
      <c r="I3" s="3">
        <f t="shared" si="0"/>
        <v>60124673.908892691</v>
      </c>
      <c r="J3" s="3">
        <f t="shared" si="0"/>
        <v>72489054.002299875</v>
      </c>
      <c r="K3" s="3">
        <f t="shared" si="0"/>
        <v>85592356.729060218</v>
      </c>
      <c r="L3" s="3">
        <f t="shared" si="0"/>
        <v>99466705.04527542</v>
      </c>
      <c r="M3" s="3">
        <f t="shared" si="0"/>
        <v>114145388.01427414</v>
      </c>
    </row>
    <row r="4" spans="1:13">
      <c r="B4" t="s">
        <v>60</v>
      </c>
      <c r="C4" s="10">
        <f>'Summary WC'!$B$8</f>
        <v>25238578</v>
      </c>
      <c r="D4" s="3">
        <f>$C4*(_xlfn.XLOOKUP(C2, 'Interest and Inflation WC'!$A$2:$A$11, 'Interest and Inflation WC'!$F$2:$F$11))*(_xlfn.XLOOKUP(C2, 'Interest and Inflation WC'!$A$2:$A$11, 'Interest and Inflation WC'!$K$2:$K$11))</f>
        <v>26434181.380098589</v>
      </c>
      <c r="E4" s="3">
        <f>$C4*(_xlfn.XLOOKUP(D2, 'Interest and Inflation WC'!$A$2:$A$11, 'Interest and Inflation WC'!$F$2:$F$11))*(_xlfn.XLOOKUP(D2, 'Interest and Inflation WC'!$A$2:$A$11, 'Interest and Inflation WC'!$K$2:$K$11))</f>
        <v>27680191.125048254</v>
      </c>
      <c r="F4" s="3">
        <f>$C4*(_xlfn.XLOOKUP(E2, 'Interest and Inflation WC'!$A$2:$A$11, 'Interest and Inflation WC'!$F$2:$F$11))*(_xlfn.XLOOKUP(E2, 'Interest and Inflation WC'!$A$2:$A$11, 'Interest and Inflation WC'!$K$2:$K$11))</f>
        <v>28975950.655826505</v>
      </c>
      <c r="G4" s="3">
        <f>$C4*(_xlfn.XLOOKUP(F2, 'Interest and Inflation WC'!$A$2:$A$11, 'Interest and Inflation WC'!$F$2:$F$11))*(_xlfn.XLOOKUP(F2, 'Interest and Inflation WC'!$A$2:$A$11, 'Interest and Inflation WC'!$K$2:$K$11))</f>
        <v>30321661.065354504</v>
      </c>
      <c r="H4" s="3">
        <f>$C4*(_xlfn.XLOOKUP(G2, 'Interest and Inflation WC'!$A$2:$A$11, 'Interest and Inflation WC'!$F$2:$F$11))*(_xlfn.XLOOKUP(G2, 'Interest and Inflation WC'!$A$2:$A$11, 'Interest and Inflation WC'!$K$2:$K$11))</f>
        <v>31718074.457418665</v>
      </c>
      <c r="I4" s="3">
        <f>$C4*(_xlfn.XLOOKUP(H2, 'Interest and Inflation WC'!$A$2:$A$11, 'Interest and Inflation WC'!$F$2:$F$11))*(_xlfn.XLOOKUP(H2, 'Interest and Inflation WC'!$A$2:$A$11, 'Interest and Inflation WC'!$K$2:$K$11))</f>
        <v>33166304.352730073</v>
      </c>
      <c r="J4" s="3">
        <f>$C4*(_xlfn.XLOOKUP(I2, 'Interest and Inflation WC'!$A$2:$A$11, 'Interest and Inflation WC'!$F$2:$F$11))*(_xlfn.XLOOKUP(I2, 'Interest and Inflation WC'!$A$2:$A$11, 'Interest and Inflation WC'!$K$2:$K$11))</f>
        <v>34667708.708083652</v>
      </c>
      <c r="K4" s="3">
        <f>$C4*(_xlfn.XLOOKUP(J2, 'Interest and Inflation WC'!$A$2:$A$11, 'Interest and Inflation WC'!$F$2:$F$11))*(_xlfn.XLOOKUP(J2, 'Interest and Inflation WC'!$A$2:$A$11, 'Interest and Inflation WC'!$K$2:$K$11))</f>
        <v>36223817.772973597</v>
      </c>
      <c r="L4" s="3">
        <f>$C4*(_xlfn.XLOOKUP(K2, 'Interest and Inflation WC'!$A$2:$A$11, 'Interest and Inflation WC'!$F$2:$F$11))*(_xlfn.XLOOKUP(K2, 'Interest and Inflation WC'!$A$2:$A$11, 'Interest and Inflation WC'!$K$2:$K$11))</f>
        <v>37836290.032603681</v>
      </c>
      <c r="M4" s="3"/>
    </row>
    <row r="5" spans="1:13">
      <c r="A5" t="s">
        <v>29</v>
      </c>
      <c r="B5" t="s">
        <v>24</v>
      </c>
      <c r="C5" s="11">
        <f>(C3+C4)*((1+_xlfn.XLOOKUP(C$2,'Interest and Inflation WC'!$A$2:$A$11,'Interest and Inflation WC'!$C$2:$C$11))^(1/2)-1)</f>
        <v>222885.25268269327</v>
      </c>
      <c r="D5" s="3">
        <f>(D3+D4)*((1+_xlfn.XLOOKUP(D$2,'Interest and Inflation WC'!$A$2:$A$11,'Interest and Inflation WC'!$C$2:$C$11))^(1/2)-1)</f>
        <v>311492.64867203985</v>
      </c>
      <c r="E5" s="3">
        <f>(E3+E4)*((1+_xlfn.XLOOKUP(E$2,'Interest and Inflation WC'!$A$2:$A$11,'Interest and Inflation WC'!$C$2:$C$11))^(1/2)-1)</f>
        <v>405673.55973384628</v>
      </c>
      <c r="F5" s="3">
        <f>(F3+F4)*((1+_xlfn.XLOOKUP(F$2,'Interest and Inflation WC'!$A$2:$A$11,'Interest and Inflation WC'!$C$2:$C$11))^(1/2)-1)</f>
        <v>505524.35782860039</v>
      </c>
      <c r="G5" s="3">
        <f>(G3+G4)*((1+_xlfn.XLOOKUP(G$2,'Interest and Inflation WC'!$A$2:$A$11,'Interest and Inflation WC'!$C$2:$C$11))^(1/2)-1)</f>
        <v>609107.46940620383</v>
      </c>
      <c r="H5" s="3">
        <f>(H3+H4)*((1+_xlfn.XLOOKUP(H$2,'Interest and Inflation WC'!$A$2:$A$11,'Interest and Inflation WC'!$C$2:$C$11))^(1/2)-1)</f>
        <v>720956.60166559566</v>
      </c>
      <c r="I5" s="3">
        <f>(I3+I4)*((1+_xlfn.XLOOKUP(I$2,'Interest and Inflation WC'!$A$2:$A$11,'Interest and Inflation WC'!$C$2:$C$11))^(1/2)-1)</f>
        <v>839257.52071028913</v>
      </c>
      <c r="J5" s="3">
        <f>(J3+J4)*((1+_xlfn.XLOOKUP(J$2,'Interest and Inflation WC'!$A$2:$A$11,'Interest and Inflation WC'!$C$2:$C$11))^(1/2)-1)</f>
        <v>964319.42533329129</v>
      </c>
      <c r="K5" s="3">
        <f>(K3+K4)*((1+_xlfn.XLOOKUP(K$2,'Interest and Inflation WC'!$A$2:$A$11,'Interest and Inflation WC'!$C$2:$C$11))^(1/2)-1)</f>
        <v>1096459.2373917098</v>
      </c>
      <c r="L5" s="3">
        <f>(L3+L4)*((1+_xlfn.XLOOKUP(L$2,'Interest and Inflation WC'!$A$2:$A$11,'Interest and Inflation WC'!$C$2:$C$11))^(1/2)-1)</f>
        <v>1236000.2686777113</v>
      </c>
      <c r="M5" s="3"/>
    </row>
    <row r="6" spans="1:13">
      <c r="A6" t="s">
        <v>33</v>
      </c>
      <c r="B6" t="s">
        <v>61</v>
      </c>
      <c r="C6" s="10">
        <f>'Summary WC'!$B$11*((1+_xlfn.XLOOKUP(C$2,'Interest and Inflation WC'!$A$2:$A$11,'Interest and Inflation WC'!$D$2:$D$11))^(1/2))*(1+'Interest and Inflation WC'!$K$12)</f>
        <v>16977405.789981354</v>
      </c>
      <c r="D6" s="3">
        <f>'Summary WC'!$B$11*((1+_xlfn.XLOOKUP(D$2,'Interest and Inflation WC'!$A$2:$A$11,'Interest and Inflation WC'!$D$2:$D$11))^(1/2))*_xlfn.XLOOKUP(D$2,'Interest and Inflation WC'!$G$2:$G$11,'Interest and Inflation WC'!$F$2:$F$11)*(_xlfn.XLOOKUP(D$2,'Interest and Inflation WC'!$G$2:$G$11,'Interest and Inflation WC'!$K$2:$K$11) + 'Interest and Inflation WC'!$K$12)</f>
        <v>17779611.919881005</v>
      </c>
      <c r="E6" s="3">
        <f>'Summary WC'!$B$11*((1+_xlfn.XLOOKUP(E$2,'Interest and Inflation WC'!$A$2:$A$11,'Interest and Inflation WC'!$D$2:$D$11))^(1/2))*_xlfn.XLOOKUP(E$2,'Interest and Inflation WC'!$G$2:$G$11,'Interest and Inflation WC'!$F$2:$F$11)*(_xlfn.XLOOKUP(E$2,'Interest and Inflation WC'!$G$2:$G$11,'Interest and Inflation WC'!$K$2:$K$11) + 'Interest and Inflation WC'!$K$12)</f>
        <v>18614745.841004074</v>
      </c>
      <c r="F6" s="4">
        <f>'Summary WC'!$B$11*((1+0.05)^(1/2))*_xlfn.XLOOKUP(F$2,'Interest and Inflation WC'!$G$2:$G$11,'Interest and Inflation WC'!$F$2:$F$11)*(_xlfn.XLOOKUP(F$2,'Interest and Inflation WC'!$G$2:$G$11,'Interest and Inflation WC'!$K$2:$K$11) + 'Interest and Inflation WC'!$K$12)</f>
        <v>19720102.935602214</v>
      </c>
      <c r="G6" s="3">
        <f>'Summary WC'!$B$11*((1+_xlfn.XLOOKUP(G$2,'Interest and Inflation WC'!$A$2:$A$11,'Interest and Inflation WC'!$D$2:$D$11))^(1/2))*_xlfn.XLOOKUP(G$2,'Interest and Inflation WC'!$G$2:$G$11,'Interest and Inflation WC'!$F$2:$F$11)*(_xlfn.XLOOKUP(G$2,'Interest and Inflation WC'!$G$2:$G$11,'Interest and Inflation WC'!$K$2:$K$11) + 'Interest and Inflation WC'!$K$12)</f>
        <v>20383636.127387151</v>
      </c>
      <c r="H6" s="3">
        <f>'Summary WC'!$B$11*((1+_xlfn.XLOOKUP(H$2,'Interest and Inflation WC'!$A$2:$A$11,'Interest and Inflation WC'!$D$2:$D$11))^(1/2))*_xlfn.XLOOKUP(H$2,'Interest and Inflation WC'!$G$2:$G$11,'Interest and Inflation WC'!$F$2:$F$11)*(_xlfn.XLOOKUP(H$2,'Interest and Inflation WC'!$G$2:$G$11,'Interest and Inflation WC'!$K$2:$K$11) + 'Interest and Inflation WC'!$K$12)</f>
        <v>21318311.755871598</v>
      </c>
      <c r="I6" s="3">
        <f>'Summary WC'!$B$11*((1+_xlfn.XLOOKUP(I$2,'Interest and Inflation WC'!$A$2:$A$11,'Interest and Inflation WC'!$D$2:$D$11))^(1/2))*_xlfn.XLOOKUP(I$2,'Interest and Inflation WC'!$G$2:$G$11,'Interest and Inflation WC'!$F$2:$F$11)*(_xlfn.XLOOKUP(I$2,'Interest and Inflation WC'!$G$2:$G$11,'Interest and Inflation WC'!$K$2:$K$11) + 'Interest and Inflation WC'!$K$12)</f>
        <v>22287488.285429422</v>
      </c>
      <c r="J6" s="3">
        <f>'Summary WC'!$B$11*((1+_xlfn.XLOOKUP(J$2,'Interest and Inflation WC'!$A$2:$A$11,'Interest and Inflation WC'!$D$2:$D$11))^(1/2))*_xlfn.XLOOKUP(J$2,'Interest and Inflation WC'!$G$2:$G$11,'Interest and Inflation WC'!$F$2:$F$11)*(_xlfn.XLOOKUP(J$2,'Interest and Inflation WC'!$G$2:$G$11,'Interest and Inflation WC'!$K$2:$K$11) + 'Interest and Inflation WC'!$K$12)</f>
        <v>23292113.735958427</v>
      </c>
      <c r="K6" s="3">
        <f>'Summary WC'!$B$11*((1+_xlfn.XLOOKUP(K$2,'Interest and Inflation WC'!$A$2:$A$11,'Interest and Inflation WC'!$D$2:$D$11))^(1/2))*_xlfn.XLOOKUP(K$2,'Interest and Inflation WC'!$G$2:$G$11,'Interest and Inflation WC'!$F$2:$F$11)*(_xlfn.XLOOKUP(K$2,'Interest and Inflation WC'!$G$2:$G$11,'Interest and Inflation WC'!$K$2:$K$11) + 'Interest and Inflation WC'!$K$12)</f>
        <v>24333235.265019115</v>
      </c>
      <c r="L6" s="3">
        <f>'Summary WC'!$B$11*((1+_xlfn.XLOOKUP(L$2,'Interest and Inflation WC'!$A$2:$A$11,'Interest and Inflation WC'!$D$2:$D$11))^(1/2))*_xlfn.XLOOKUP(L$2,'Interest and Inflation WC'!$G$2:$G$11,'Interest and Inflation WC'!$F$2:$F$11)*(_xlfn.XLOOKUP(L$2,'Interest and Inflation WC'!$G$2:$G$11,'Interest and Inflation WC'!$K$2:$K$11) + 'Interest and Inflation WC'!$K$12)</f>
        <v>25411975.697817896</v>
      </c>
      <c r="M6" s="3"/>
    </row>
    <row r="7" spans="1:13">
      <c r="B7" t="s">
        <v>26</v>
      </c>
      <c r="C7" s="3">
        <f>C3+C4+C5-C6</f>
        <v>8484057.4627013393</v>
      </c>
      <c r="D7" s="3">
        <f t="shared" ref="D7:L7" si="1">D3+D4+D5-D6</f>
        <v>17525043.416006785</v>
      </c>
      <c r="E7" s="3">
        <f t="shared" si="1"/>
        <v>27152161.940080605</v>
      </c>
      <c r="F7" s="3">
        <f t="shared" si="1"/>
        <v>37156360.616169885</v>
      </c>
      <c r="G7" s="3">
        <f t="shared" si="1"/>
        <v>48036704.525929675</v>
      </c>
      <c r="H7" s="3">
        <f t="shared" si="1"/>
        <v>59588908.61652334</v>
      </c>
      <c r="I7" s="3">
        <f t="shared" si="1"/>
        <v>71842747.496903628</v>
      </c>
      <c r="J7" s="3">
        <f t="shared" si="1"/>
        <v>84828968.399758399</v>
      </c>
      <c r="K7" s="3">
        <f t="shared" si="1"/>
        <v>98579398.474406406</v>
      </c>
      <c r="L7" s="3">
        <f t="shared" si="1"/>
        <v>113127019.64873892</v>
      </c>
      <c r="M7" s="3"/>
    </row>
    <row r="8" spans="1:13">
      <c r="B8" t="s">
        <v>27</v>
      </c>
      <c r="C8" s="3">
        <f>C7*((1+_xlfn.XLOOKUP(C$2,'Interest and Inflation WC'!$A$2:$A$11,'Interest and Inflation WC'!$C$2:$C$11))^(1/2)-1)</f>
        <v>74923.844415825544</v>
      </c>
      <c r="D8" s="3">
        <f>D7*((1+_xlfn.XLOOKUP(D$2,'Interest and Inflation WC'!$A$2:$A$11,'Interest and Inflation WC'!$C$2:$C$11))^(1/2)-1)</f>
        <v>155999.68029579634</v>
      </c>
      <c r="E8" s="3">
        <f>E7*((1+_xlfn.XLOOKUP(E$2,'Interest and Inflation WC'!$A$2:$A$11,'Interest and Inflation WC'!$C$2:$C$11))^(1/2)-1)</f>
        <v>242826.59803638689</v>
      </c>
      <c r="F8" s="3">
        <f>F7*((1+_xlfn.XLOOKUP(F$2,'Interest and Inflation WC'!$A$2:$A$11,'Interest and Inflation WC'!$C$2:$C$11))^(1/2)-1)</f>
        <v>333211.50238623796</v>
      </c>
      <c r="G8" s="3">
        <f>G7*((1+_xlfn.XLOOKUP(G$2,'Interest and Inflation WC'!$A$2:$A$11,'Interest and Inflation WC'!$C$2:$C$11))^(1/2)-1)</f>
        <v>431484.78738099226</v>
      </c>
      <c r="H8" s="3">
        <f>H7*((1+_xlfn.XLOOKUP(H$2,'Interest and Inflation WC'!$A$2:$A$11,'Interest and Inflation WC'!$C$2:$C$11))^(1/2)-1)</f>
        <v>535765.2923693473</v>
      </c>
      <c r="I8" s="3">
        <f>I7*((1+_xlfn.XLOOKUP(I$2,'Interest and Inflation WC'!$A$2:$A$11,'Interest and Inflation WC'!$C$2:$C$11))^(1/2)-1)</f>
        <v>646306.50539624726</v>
      </c>
      <c r="J8" s="3">
        <f>J7*((1+_xlfn.XLOOKUP(J$2,'Interest and Inflation WC'!$A$2:$A$11,'Interest and Inflation WC'!$C$2:$C$11))^(1/2)-1)</f>
        <v>763388.32930181711</v>
      </c>
      <c r="K8" s="3">
        <f>K7*((1+_xlfn.XLOOKUP(K$2,'Interest and Inflation WC'!$A$2:$A$11,'Interest and Inflation WC'!$C$2:$C$11))^(1/2)-1)</f>
        <v>887306.57086901471</v>
      </c>
      <c r="L8" s="3">
        <f>L7*((1+_xlfn.XLOOKUP(L$2,'Interest and Inflation WC'!$A$2:$A$11,'Interest and Inflation WC'!$C$2:$C$11))^(1/2)-1)</f>
        <v>1018368.3655352194</v>
      </c>
      <c r="M8" s="3"/>
    </row>
    <row r="9" spans="1:13">
      <c r="B9" t="s">
        <v>28</v>
      </c>
      <c r="C9" s="3">
        <f>C7+C8</f>
        <v>8558981.3071171641</v>
      </c>
      <c r="D9" s="3">
        <f t="shared" ref="D9:L9" si="2">D7+D8</f>
        <v>17681043.09630258</v>
      </c>
      <c r="E9" s="3">
        <f t="shared" si="2"/>
        <v>27394988.538116992</v>
      </c>
      <c r="F9" s="3">
        <f t="shared" si="2"/>
        <v>37489572.11855612</v>
      </c>
      <c r="G9" s="3">
        <f t="shared" si="2"/>
        <v>48468189.313310668</v>
      </c>
      <c r="H9" s="3">
        <f t="shared" si="2"/>
        <v>60124673.908892691</v>
      </c>
      <c r="I9" s="3">
        <f t="shared" si="2"/>
        <v>72489054.002299875</v>
      </c>
      <c r="J9" s="3">
        <f t="shared" si="2"/>
        <v>85592356.729060218</v>
      </c>
      <c r="K9" s="3">
        <f t="shared" si="2"/>
        <v>99466705.04527542</v>
      </c>
      <c r="L9" s="3">
        <f t="shared" si="2"/>
        <v>114145388.01427414</v>
      </c>
      <c r="M9" s="3"/>
    </row>
    <row r="11" spans="1:13">
      <c r="A11" s="2"/>
      <c r="B11" s="2" t="s">
        <v>62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</row>
    <row r="12" spans="1:13">
      <c r="B12" t="s">
        <v>22</v>
      </c>
      <c r="C12" s="4">
        <v>0</v>
      </c>
      <c r="D12" s="3">
        <f t="shared" ref="D12:M12" si="3">C18</f>
        <v>71981.807822747185</v>
      </c>
      <c r="E12" s="3">
        <f t="shared" si="3"/>
        <v>153634.29349442947</v>
      </c>
      <c r="F12" s="3">
        <f t="shared" si="3"/>
        <v>246137.69491401289</v>
      </c>
      <c r="G12" s="3">
        <f t="shared" si="3"/>
        <v>-7802.5680968298993</v>
      </c>
      <c r="H12" s="3">
        <f t="shared" si="3"/>
        <v>102855.77342794173</v>
      </c>
      <c r="I12" s="3">
        <f t="shared" si="3"/>
        <v>227016.88069987154</v>
      </c>
      <c r="J12" s="3">
        <f t="shared" si="3"/>
        <v>365525.37974921899</v>
      </c>
      <c r="K12" s="3">
        <f t="shared" si="3"/>
        <v>519227.71128213411</v>
      </c>
      <c r="L12" s="3">
        <f t="shared" si="3"/>
        <v>688984.9943599673</v>
      </c>
      <c r="M12" s="3">
        <f t="shared" si="3"/>
        <v>875681.55837875034</v>
      </c>
    </row>
    <row r="13" spans="1:13">
      <c r="B13" t="s">
        <v>60</v>
      </c>
      <c r="C13" s="10">
        <f>'Summary WC'!$B$8</f>
        <v>25238578</v>
      </c>
      <c r="D13" s="3">
        <f>$C13*(_xlfn.XLOOKUP(C11, 'Interest and Inflation WC'!$A$2:$A$11, 'Interest and Inflation WC'!$F$2:$F$11))*(_xlfn.XLOOKUP(C11, 'Interest and Inflation WC'!$A$2:$A$11, 'Interest and Inflation WC'!$K$2:$K$11))</f>
        <v>26434181.380098589</v>
      </c>
      <c r="E13" s="3">
        <f>$C13*(_xlfn.XLOOKUP(D11, 'Interest and Inflation WC'!$A$2:$A$11, 'Interest and Inflation WC'!$F$2:$F$11))*(_xlfn.XLOOKUP(D11, 'Interest and Inflation WC'!$A$2:$A$11, 'Interest and Inflation WC'!$K$2:$K$11))</f>
        <v>27680191.125048254</v>
      </c>
      <c r="F13" s="3">
        <f>$C13*(_xlfn.XLOOKUP(E11, 'Interest and Inflation WC'!$A$2:$A$11, 'Interest and Inflation WC'!$F$2:$F$11))*(_xlfn.XLOOKUP(E11, 'Interest and Inflation WC'!$A$2:$A$11, 'Interest and Inflation WC'!$K$2:$K$11))</f>
        <v>28975950.655826505</v>
      </c>
      <c r="G13" s="3">
        <f>$C13*(_xlfn.XLOOKUP(F11, 'Interest and Inflation WC'!$A$2:$A$11, 'Interest and Inflation WC'!$F$2:$F$11))*(_xlfn.XLOOKUP(F11, 'Interest and Inflation WC'!$A$2:$A$11, 'Interest and Inflation WC'!$K$2:$K$11))</f>
        <v>30321661.065354504</v>
      </c>
      <c r="H13" s="3">
        <f>$C13*(_xlfn.XLOOKUP(G11, 'Interest and Inflation WC'!$A$2:$A$11, 'Interest and Inflation WC'!$F$2:$F$11))*(_xlfn.XLOOKUP(G11, 'Interest and Inflation WC'!$A$2:$A$11, 'Interest and Inflation WC'!$K$2:$K$11))</f>
        <v>31718074.457418665</v>
      </c>
      <c r="I13" s="3">
        <f>$C13*(_xlfn.XLOOKUP(H11, 'Interest and Inflation WC'!$A$2:$A$11, 'Interest and Inflation WC'!$F$2:$F$11))*(_xlfn.XLOOKUP(H11, 'Interest and Inflation WC'!$A$2:$A$11, 'Interest and Inflation WC'!$K$2:$K$11))</f>
        <v>33166304.352730073</v>
      </c>
      <c r="J13" s="3">
        <f>$C13*(_xlfn.XLOOKUP(I11, 'Interest and Inflation WC'!$A$2:$A$11, 'Interest and Inflation WC'!$F$2:$F$11))*(_xlfn.XLOOKUP(I11, 'Interest and Inflation WC'!$A$2:$A$11, 'Interest and Inflation WC'!$K$2:$K$11))</f>
        <v>34667708.708083652</v>
      </c>
      <c r="K13" s="3">
        <f>$C13*(_xlfn.XLOOKUP(J11, 'Interest and Inflation WC'!$A$2:$A$11, 'Interest and Inflation WC'!$F$2:$F$11))*(_xlfn.XLOOKUP(J11, 'Interest and Inflation WC'!$A$2:$A$11, 'Interest and Inflation WC'!$K$2:$K$11))</f>
        <v>36223817.772973597</v>
      </c>
      <c r="L13" s="3">
        <f>$C13*(_xlfn.XLOOKUP(K11, 'Interest and Inflation WC'!$A$2:$A$11, 'Interest and Inflation WC'!$F$2:$F$11))*(_xlfn.XLOOKUP(K11, 'Interest and Inflation WC'!$A$2:$A$11, 'Interest and Inflation WC'!$K$2:$K$11))</f>
        <v>37836290.032603681</v>
      </c>
      <c r="M13" s="3"/>
    </row>
    <row r="14" spans="1:13">
      <c r="B14" t="s">
        <v>24</v>
      </c>
      <c r="C14" s="3">
        <f>(C12+C13)*((1+_xlfn.XLOOKUP(C$2,'Interest and Inflation WC'!$A$2:$A$11,'Interest and Inflation WC'!$C$2:$C$11))^(1/2)-1)</f>
        <v>222885.25268269327</v>
      </c>
      <c r="D14" s="3">
        <f>(D12+D13)*((1+_xlfn.XLOOKUP(D$2,'Interest and Inflation WC'!$A$2:$A$11,'Interest and Inflation WC'!$C$2:$C$11))^(1/2)-1)</f>
        <v>235945.37742526832</v>
      </c>
      <c r="E14" s="3">
        <f>(E12+E13)*((1+_xlfn.XLOOKUP(E$2,'Interest and Inflation WC'!$A$2:$A$11,'Interest and Inflation WC'!$C$2:$C$11))^(1/2)-1)</f>
        <v>248922.83537637768</v>
      </c>
      <c r="F14" s="3">
        <f>(F12+F13)*((1+_xlfn.XLOOKUP(F$2,'Interest and Inflation WC'!$A$2:$A$11,'Interest and Inflation WC'!$C$2:$C$11))^(1/2)-1)</f>
        <v>262058.38787064029</v>
      </c>
      <c r="G14" s="3">
        <f>(G12+G13)*((1+_xlfn.XLOOKUP(G$2,'Interest and Inflation WC'!$A$2:$A$11,'Interest and Inflation WC'!$C$2:$C$11))^(1/2)-1)</f>
        <v>272291.13482017262</v>
      </c>
      <c r="H14" s="3">
        <f>(H12+H13)*((1+_xlfn.XLOOKUP(H$2,'Interest and Inflation WC'!$A$2:$A$11,'Interest and Inflation WC'!$C$2:$C$11))^(1/2)-1)</f>
        <v>286102.73932533077</v>
      </c>
      <c r="I14" s="3">
        <f>(I12+I13)*((1+_xlfn.XLOOKUP(I$2,'Interest and Inflation WC'!$A$2:$A$11,'Interest and Inflation WC'!$C$2:$C$11))^(1/2)-1)</f>
        <v>300410.57033464086</v>
      </c>
      <c r="J14" s="3">
        <f>(J12+J13)*((1+_xlfn.XLOOKUP(J$2,'Interest and Inflation WC'!$A$2:$A$11,'Interest and Inflation WC'!$C$2:$C$11))^(1/2)-1)</f>
        <v>315269.21221437806</v>
      </c>
      <c r="K14" s="3">
        <f>(K12+K13)*((1+_xlfn.XLOOKUP(K$2,'Interest and Inflation WC'!$A$2:$A$11,'Interest and Inflation WC'!$C$2:$C$11))^(1/2)-1)</f>
        <v>330721.69435466325</v>
      </c>
      <c r="L14" s="3">
        <f>(L12+L13)*((1+_xlfn.XLOOKUP(L$2,'Interest and Inflation WC'!$A$2:$A$11,'Interest and Inflation WC'!$C$2:$C$11))^(1/2)-1)</f>
        <v>346804.16299149918</v>
      </c>
      <c r="M14" s="3"/>
    </row>
    <row r="15" spans="1:13">
      <c r="B15" t="s">
        <v>61</v>
      </c>
      <c r="C15" s="4">
        <f>'Summary WC'!$B$12*((1+_xlfn.XLOOKUP(C$2,'Interest and Inflation WC'!$A$2:$A$11,'Interest and Inflation WC'!$D$2:$D$11))^(1/2))*(1+'Interest and Inflation WC'!$K$12)</f>
        <v>25390111.561175961</v>
      </c>
      <c r="D15" s="3">
        <f>'Summary WC'!$B$12*((1+_xlfn.XLOOKUP(D$2,'Interest and Inflation WC'!$A$2:$A$11,'Interest and Inflation WC'!$D$2:$D$11))^(1/2))*_xlfn.XLOOKUP(D$2,'Interest and Inflation WC'!$G$2:$G$11,'Interest and Inflation WC'!$F$2:$F$11)*(_xlfn.XLOOKUP(D$2,'Interest and Inflation WC'!$G$2:$G$11,'Interest and Inflation WC'!$K$2:$K$11) + 'Interest and Inflation WC'!$K$12)</f>
        <v>26589829.785807833</v>
      </c>
      <c r="E15" s="3">
        <f>'Summary WC'!$B$12*((1+_xlfn.XLOOKUP(E$2,'Interest and Inflation WC'!$A$2:$A$11,'Interest and Inflation WC'!$D$2:$D$11))^(1/2))*_xlfn.XLOOKUP(E$2,'Interest and Inflation WC'!$G$2:$G$11,'Interest and Inflation WC'!$F$2:$F$11)*(_xlfn.XLOOKUP(E$2,'Interest and Inflation WC'!$G$2:$G$11,'Interest and Inflation WC'!$K$2:$K$11) + 'Interest and Inflation WC'!$K$12)</f>
        <v>27838792.300348774</v>
      </c>
      <c r="F15" s="4">
        <f>'Summary WC'!$B$12*((1+0.05)^(1/2))*_xlfn.XLOOKUP(F$2,'Interest and Inflation WC'!$G$2:$G$11,'Interest and Inflation WC'!$F$2:$F$11)*(_xlfn.XLOOKUP(F$2,'Interest and Inflation WC'!$G$2:$G$11,'Interest and Inflation WC'!$K$2:$K$11) + 'Interest and Inflation WC'!$K$12)</f>
        <v>29491879.956611652</v>
      </c>
      <c r="G15" s="3">
        <f>'Summary WC'!$B$12*((1+_xlfn.XLOOKUP(G$2,'Interest and Inflation WC'!$A$2:$A$11,'Interest and Inflation WC'!$D$2:$D$11))^(1/2))*_xlfn.XLOOKUP(G$2,'Interest and Inflation WC'!$G$2:$G$11,'Interest and Inflation WC'!$F$2:$F$11)*(_xlfn.XLOOKUP(G$2,'Interest and Inflation WC'!$G$2:$G$11,'Interest and Inflation WC'!$K$2:$K$11) + 'Interest and Inflation WC'!$K$12)</f>
        <v>30484209.525237769</v>
      </c>
      <c r="H15" s="3">
        <f>'Summary WC'!$B$12*((1+_xlfn.XLOOKUP(H$2,'Interest and Inflation WC'!$A$2:$A$11,'Interest and Inflation WC'!$D$2:$D$11))^(1/2))*_xlfn.XLOOKUP(H$2,'Interest and Inflation WC'!$G$2:$G$11,'Interest and Inflation WC'!$F$2:$F$11)*(_xlfn.XLOOKUP(H$2,'Interest and Inflation WC'!$G$2:$G$11,'Interest and Inflation WC'!$K$2:$K$11) + 'Interest and Inflation WC'!$K$12)</f>
        <v>31882039.015461572</v>
      </c>
      <c r="I15" s="3">
        <f>'Summary WC'!$B$12*((1+_xlfn.XLOOKUP(I$2,'Interest and Inflation WC'!$A$2:$A$11,'Interest and Inflation WC'!$D$2:$D$11))^(1/2))*_xlfn.XLOOKUP(I$2,'Interest and Inflation WC'!$G$2:$G$11,'Interest and Inflation WC'!$F$2:$F$11)*(_xlfn.XLOOKUP(I$2,'Interest and Inflation WC'!$G$2:$G$11,'Interest and Inflation WC'!$K$2:$K$11) + 'Interest and Inflation WC'!$K$12)</f>
        <v>33331465.418550074</v>
      </c>
      <c r="J15" s="3">
        <f>'Summary WC'!$B$12*((1+_xlfn.XLOOKUP(J$2,'Interest and Inflation WC'!$A$2:$A$11,'Interest and Inflation WC'!$D$2:$D$11))^(1/2))*_xlfn.XLOOKUP(J$2,'Interest and Inflation WC'!$G$2:$G$11,'Interest and Inflation WC'!$F$2:$F$11)*(_xlfn.XLOOKUP(J$2,'Interest and Inflation WC'!$G$2:$G$11,'Interest and Inflation WC'!$K$2:$K$11) + 'Interest and Inflation WC'!$K$12)</f>
        <v>34833906.520663597</v>
      </c>
      <c r="K15" s="3">
        <f>'Summary WC'!$B$12*((1+_xlfn.XLOOKUP(K$2,'Interest and Inflation WC'!$A$2:$A$11,'Interest and Inflation WC'!$D$2:$D$11))^(1/2))*_xlfn.XLOOKUP(K$2,'Interest and Inflation WC'!$G$2:$G$11,'Interest and Inflation WC'!$F$2:$F$11)*(_xlfn.XLOOKUP(K$2,'Interest and Inflation WC'!$G$2:$G$11,'Interest and Inflation WC'!$K$2:$K$11) + 'Interest and Inflation WC'!$K$12)</f>
        <v>36390928.370679818</v>
      </c>
      <c r="L15" s="3">
        <f>'Summary WC'!$B$12*((1+_xlfn.XLOOKUP(L$2,'Interest and Inflation WC'!$A$2:$A$11,'Interest and Inflation WC'!$D$2:$D$11))^(1/2))*_xlfn.XLOOKUP(L$2,'Interest and Inflation WC'!$G$2:$G$11,'Interest and Inflation WC'!$F$2:$F$11)*(_xlfn.XLOOKUP(L$2,'Interest and Inflation WC'!$G$2:$G$11,'Interest and Inflation WC'!$K$2:$K$11) + 'Interest and Inflation WC'!$K$12)</f>
        <v>38004210.180229038</v>
      </c>
      <c r="M15" s="3"/>
    </row>
    <row r="16" spans="1:13">
      <c r="B16" t="s">
        <v>26</v>
      </c>
      <c r="C16" s="3">
        <f>C12+C13+C14-C15</f>
        <v>71351.691506732255</v>
      </c>
      <c r="D16" s="3">
        <f t="shared" ref="D16:L16" si="4">D12+D13+D14-D15</f>
        <v>152278.779538773</v>
      </c>
      <c r="E16" s="3">
        <f t="shared" si="4"/>
        <v>243955.95357028767</v>
      </c>
      <c r="F16" s="3">
        <f t="shared" si="4"/>
        <v>-7733.2180004939437</v>
      </c>
      <c r="G16" s="3">
        <f t="shared" si="4"/>
        <v>101940.10684007779</v>
      </c>
      <c r="H16" s="3">
        <f t="shared" si="4"/>
        <v>224993.95471036434</v>
      </c>
      <c r="I16" s="3">
        <f t="shared" si="4"/>
        <v>362266.38521451503</v>
      </c>
      <c r="J16" s="3">
        <f t="shared" si="4"/>
        <v>514596.77938365191</v>
      </c>
      <c r="K16" s="3">
        <f t="shared" si="4"/>
        <v>682838.80793057382</v>
      </c>
      <c r="L16" s="3">
        <f t="shared" si="4"/>
        <v>867869.00972611457</v>
      </c>
      <c r="M16" s="3"/>
    </row>
    <row r="17" spans="1:13">
      <c r="B17" t="s">
        <v>27</v>
      </c>
      <c r="C17" s="3">
        <f>C16*((1+_xlfn.XLOOKUP(C$2,'Interest and Inflation WC'!$A$2:$A$11,'Interest and Inflation WC'!$C$2:$C$11))^(1/2)-1)</f>
        <v>630.11631601493548</v>
      </c>
      <c r="D17" s="3">
        <f>D16*((1+_xlfn.XLOOKUP(D$2,'Interest and Inflation WC'!$A$2:$A$11,'Interest and Inflation WC'!$C$2:$C$11))^(1/2)-1)</f>
        <v>1355.5139556564648</v>
      </c>
      <c r="E17" s="3">
        <f>E16*((1+_xlfn.XLOOKUP(E$2,'Interest and Inflation WC'!$A$2:$A$11,'Interest and Inflation WC'!$C$2:$C$11))^(1/2)-1)</f>
        <v>2181.7413437252007</v>
      </c>
      <c r="F17" s="3">
        <f>F16*((1+_xlfn.XLOOKUP(F$2,'Interest and Inflation WC'!$A$2:$A$11,'Interest and Inflation WC'!$C$2:$C$11))^(1/2)-1)</f>
        <v>-69.350096335955541</v>
      </c>
      <c r="G17" s="3">
        <f>G16*((1+_xlfn.XLOOKUP(G$2,'Interest and Inflation WC'!$A$2:$A$11,'Interest and Inflation WC'!$C$2:$C$11))^(1/2)-1)</f>
        <v>915.66658786394612</v>
      </c>
      <c r="H17" s="3">
        <f>H16*((1+_xlfn.XLOOKUP(H$2,'Interest and Inflation WC'!$A$2:$A$11,'Interest and Inflation WC'!$C$2:$C$11))^(1/2)-1)</f>
        <v>2022.9259895071905</v>
      </c>
      <c r="I17" s="3">
        <f>I16*((1+_xlfn.XLOOKUP(I$2,'Interest and Inflation WC'!$A$2:$A$11,'Interest and Inflation WC'!$C$2:$C$11))^(1/2)-1)</f>
        <v>3258.9945347039379</v>
      </c>
      <c r="J17" s="3">
        <f>J16*((1+_xlfn.XLOOKUP(J$2,'Interest and Inflation WC'!$A$2:$A$11,'Interest and Inflation WC'!$C$2:$C$11))^(1/2)-1)</f>
        <v>4630.9318984822248</v>
      </c>
      <c r="K17" s="3">
        <f>K16*((1+_xlfn.XLOOKUP(K$2,'Interest and Inflation WC'!$A$2:$A$11,'Interest and Inflation WC'!$C$2:$C$11))^(1/2)-1)</f>
        <v>6146.1864293934223</v>
      </c>
      <c r="L17" s="3">
        <f>L16*((1+_xlfn.XLOOKUP(L$2,'Interest and Inflation WC'!$A$2:$A$11,'Interest and Inflation WC'!$C$2:$C$11))^(1/2)-1)</f>
        <v>7812.5486526357454</v>
      </c>
      <c r="M17" s="3"/>
    </row>
    <row r="18" spans="1:13">
      <c r="B18" t="s">
        <v>28</v>
      </c>
      <c r="C18" s="3">
        <f>C16+C17</f>
        <v>71981.807822747185</v>
      </c>
      <c r="D18" s="3">
        <f t="shared" ref="D18:L18" si="5">D16+D17</f>
        <v>153634.29349442947</v>
      </c>
      <c r="E18" s="3">
        <f t="shared" si="5"/>
        <v>246137.69491401289</v>
      </c>
      <c r="F18" s="3">
        <f t="shared" si="5"/>
        <v>-7802.5680968298993</v>
      </c>
      <c r="G18" s="3">
        <f t="shared" si="5"/>
        <v>102855.77342794173</v>
      </c>
      <c r="H18" s="3">
        <f t="shared" si="5"/>
        <v>227016.88069987154</v>
      </c>
      <c r="I18" s="3">
        <f t="shared" si="5"/>
        <v>365525.37974921899</v>
      </c>
      <c r="J18" s="3">
        <f t="shared" si="5"/>
        <v>519227.71128213411</v>
      </c>
      <c r="K18" s="3">
        <f t="shared" si="5"/>
        <v>688984.9943599673</v>
      </c>
      <c r="L18" s="3">
        <f t="shared" si="5"/>
        <v>875681.55837875034</v>
      </c>
      <c r="M18" s="3"/>
    </row>
    <row r="20" spans="1:13">
      <c r="A20" s="2"/>
      <c r="B20" s="2" t="s">
        <v>34</v>
      </c>
      <c r="C20">
        <v>0</v>
      </c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>
        <v>7</v>
      </c>
      <c r="K20">
        <v>8</v>
      </c>
      <c r="L20">
        <v>9</v>
      </c>
      <c r="M20">
        <v>10</v>
      </c>
    </row>
    <row r="21" spans="1:13">
      <c r="B21" t="s">
        <v>22</v>
      </c>
      <c r="C21" s="4">
        <v>0</v>
      </c>
      <c r="D21" s="3">
        <f t="shared" ref="D21:M21" si="6">C27</f>
        <v>-8568354.2205616385</v>
      </c>
      <c r="E21" s="3">
        <f t="shared" si="6"/>
        <v>-17690446.146915104</v>
      </c>
      <c r="F21" s="3">
        <f t="shared" si="6"/>
        <v>-27393217.543561324</v>
      </c>
      <c r="G21" s="3">
        <f t="shared" si="6"/>
        <v>-38182650.758184738</v>
      </c>
      <c r="H21" s="3">
        <f t="shared" si="6"/>
        <v>-49136305.127220064</v>
      </c>
      <c r="I21" s="3">
        <f t="shared" si="6"/>
        <v>-60752824.590898238</v>
      </c>
      <c r="J21" s="3">
        <f t="shared" si="6"/>
        <v>-73061075.258491188</v>
      </c>
      <c r="K21" s="3">
        <f t="shared" si="6"/>
        <v>-86090936.665517032</v>
      </c>
      <c r="L21" s="3">
        <f t="shared" si="6"/>
        <v>-99873374.344596907</v>
      </c>
      <c r="M21" s="3">
        <f t="shared" si="6"/>
        <v>-114440494.16388471</v>
      </c>
    </row>
    <row r="22" spans="1:13">
      <c r="B22" t="s">
        <v>60</v>
      </c>
      <c r="C22" s="4">
        <f>'Summary WC'!$B$8</f>
        <v>25238578</v>
      </c>
      <c r="D22" s="3">
        <f>$C22*(_xlfn.XLOOKUP(C20, 'Interest and Inflation WC'!$A$2:$A$11, 'Interest and Inflation WC'!$F$2:$F$11))*(_xlfn.XLOOKUP(C20, 'Interest and Inflation WC'!$A$2:$A$11, 'Interest and Inflation WC'!$K$2:$K$11))</f>
        <v>26434181.380098589</v>
      </c>
      <c r="E22" s="3">
        <f>$C22*(_xlfn.XLOOKUP(D20, 'Interest and Inflation WC'!$A$2:$A$11, 'Interest and Inflation WC'!$F$2:$F$11))*(_xlfn.XLOOKUP(D20, 'Interest and Inflation WC'!$A$2:$A$11, 'Interest and Inflation WC'!$K$2:$K$11))</f>
        <v>27680191.125048254</v>
      </c>
      <c r="F22" s="3">
        <f>$C22*(_xlfn.XLOOKUP(E20, 'Interest and Inflation WC'!$A$2:$A$11, 'Interest and Inflation WC'!$F$2:$F$11))*(_xlfn.XLOOKUP(E20, 'Interest and Inflation WC'!$A$2:$A$11, 'Interest and Inflation WC'!$K$2:$K$11))</f>
        <v>28975950.655826505</v>
      </c>
      <c r="G22" s="3">
        <f>$C22*(_xlfn.XLOOKUP(F20, 'Interest and Inflation WC'!$A$2:$A$11, 'Interest and Inflation WC'!$F$2:$F$11))*(_xlfn.XLOOKUP(F20, 'Interest and Inflation WC'!$A$2:$A$11, 'Interest and Inflation WC'!$K$2:$K$11))</f>
        <v>30321661.065354504</v>
      </c>
      <c r="H22" s="3">
        <f>$C22*(_xlfn.XLOOKUP(G20, 'Interest and Inflation WC'!$A$2:$A$11, 'Interest and Inflation WC'!$F$2:$F$11))*(_xlfn.XLOOKUP(G20, 'Interest and Inflation WC'!$A$2:$A$11, 'Interest and Inflation WC'!$K$2:$K$11))</f>
        <v>31718074.457418665</v>
      </c>
      <c r="I22" s="3">
        <f>$C22*(_xlfn.XLOOKUP(H20, 'Interest and Inflation WC'!$A$2:$A$11, 'Interest and Inflation WC'!$F$2:$F$11))*(_xlfn.XLOOKUP(H20, 'Interest and Inflation WC'!$A$2:$A$11, 'Interest and Inflation WC'!$K$2:$K$11))</f>
        <v>33166304.352730073</v>
      </c>
      <c r="J22" s="3">
        <f>$C22*(_xlfn.XLOOKUP(I20, 'Interest and Inflation WC'!$A$2:$A$11, 'Interest and Inflation WC'!$F$2:$F$11))*(_xlfn.XLOOKUP(I20, 'Interest and Inflation WC'!$A$2:$A$11, 'Interest and Inflation WC'!$K$2:$K$11))</f>
        <v>34667708.708083652</v>
      </c>
      <c r="K22" s="3">
        <f>$C22*(_xlfn.XLOOKUP(J20, 'Interest and Inflation WC'!$A$2:$A$11, 'Interest and Inflation WC'!$F$2:$F$11))*(_xlfn.XLOOKUP(J20, 'Interest and Inflation WC'!$A$2:$A$11, 'Interest and Inflation WC'!$K$2:$K$11))</f>
        <v>36223817.772973597</v>
      </c>
      <c r="L22" s="3">
        <f>$C22*(_xlfn.XLOOKUP(K20, 'Interest and Inflation WC'!$A$2:$A$11, 'Interest and Inflation WC'!$F$2:$F$11))*(_xlfn.XLOOKUP(K20, 'Interest and Inflation WC'!$A$2:$A$11, 'Interest and Inflation WC'!$K$2:$K$11))</f>
        <v>37836290.032603681</v>
      </c>
      <c r="M22" s="3"/>
    </row>
    <row r="23" spans="1:13">
      <c r="B23" t="s">
        <v>24</v>
      </c>
      <c r="C23" s="3">
        <f>(C21+C22)*((1+_xlfn.XLOOKUP(C$2,'Interest and Inflation WC'!$A$2:$A$11,'Interest and Inflation WC'!$C$2:$C$11))^(1/2)-1)</f>
        <v>222885.25268269327</v>
      </c>
      <c r="D23" s="3">
        <f>(D21+D22)*((1+_xlfn.XLOOKUP(D$2,'Interest and Inflation WC'!$A$2:$A$11,'Interest and Inflation WC'!$C$2:$C$11))^(1/2)-1)</f>
        <v>159033.17663465012</v>
      </c>
      <c r="E23" s="3">
        <f>(E21+E22)*((1+_xlfn.XLOOKUP(E$2,'Interest and Inflation WC'!$A$2:$A$11,'Interest and Inflation WC'!$C$2:$C$11))^(1/2)-1)</f>
        <v>89340.060421131668</v>
      </c>
      <c r="F23" s="3">
        <f>(F21+F22)*((1+_xlfn.XLOOKUP(F$2,'Interest and Inflation WC'!$A$2:$A$11,'Interest and Inflation WC'!$C$2:$C$11))^(1/2)-1)</f>
        <v>14193.663466190421</v>
      </c>
      <c r="G23" s="3">
        <f>(G21+G22)*((1+_xlfn.XLOOKUP(G$2,'Interest and Inflation WC'!$A$2:$A$11,'Interest and Inflation WC'!$C$2:$C$11))^(1/2)-1)</f>
        <v>-70610.536249090888</v>
      </c>
      <c r="H23" s="3">
        <f>(H21+H22)*((1+_xlfn.XLOOKUP(H$2,'Interest and Inflation WC'!$A$2:$A$11,'Interest and Inflation WC'!$C$2:$C$11))^(1/2)-1)</f>
        <v>-156607.72556547873</v>
      </c>
      <c r="I23" s="3">
        <f>(I21+I22)*((1+_xlfn.XLOOKUP(I$2,'Interest and Inflation WC'!$A$2:$A$11,'Interest and Inflation WC'!$C$2:$C$11))^(1/2)-1)</f>
        <v>-248171.84910615714</v>
      </c>
      <c r="J23" s="3">
        <f>(J21+J22)*((1+_xlfn.XLOOKUP(J$2,'Interest and Inflation WC'!$A$2:$A$11,'Interest and Inflation WC'!$C$2:$C$11))^(1/2)-1)</f>
        <v>-345507.53710770526</v>
      </c>
      <c r="K23" s="3">
        <f>(K21+K22)*((1+_xlfn.XLOOKUP(K$2,'Interest and Inflation WC'!$A$2:$A$11,'Interest and Inflation WC'!$C$2:$C$11))^(1/2)-1)</f>
        <v>-448850.60112380254</v>
      </c>
      <c r="L23" s="3">
        <f>(L21+L22)*((1+_xlfn.XLOOKUP(L$2,'Interest and Inflation WC'!$A$2:$A$11,'Interest and Inflation WC'!$C$2:$C$11))^(1/2)-1)</f>
        <v>-558457.24875930999</v>
      </c>
      <c r="M23" s="3"/>
    </row>
    <row r="24" spans="1:13">
      <c r="B24" t="s">
        <v>61</v>
      </c>
      <c r="C24" s="4">
        <f>'Summary WC'!$B$13*((1+_xlfn.XLOOKUP(C$2,'Interest and Inflation WC'!$A$2:$A$11,'Interest and Inflation WC'!$D$2:$D$11))^(1/2))*(1+'Interest and Inflation WC'!$K$12)</f>
        <v>33954811.579962708</v>
      </c>
      <c r="D24" s="3">
        <f>'Summary WC'!$B$13*((1+_xlfn.XLOOKUP(D$2,'Interest and Inflation WC'!$A$2:$A$11,'Interest and Inflation WC'!$D$2:$D$11))^(1/2))*_xlfn.XLOOKUP(D$2,'Interest and Inflation WC'!$G$2:$G$11,'Interest and Inflation WC'!$F$2:$F$11)*(_xlfn.XLOOKUP(D$2,'Interest and Inflation WC'!$G$2:$G$11,'Interest and Inflation WC'!$K$2:$K$11) + 'Interest and Inflation WC'!$K$12)</f>
        <v>35559223.83976201</v>
      </c>
      <c r="E24" s="3">
        <f>'Summary WC'!$B$13*((1+_xlfn.XLOOKUP(E$2,'Interest and Inflation WC'!$A$2:$A$11,'Interest and Inflation WC'!$D$2:$D$11))^(1/2))*_xlfn.XLOOKUP(E$2,'Interest and Inflation WC'!$G$2:$G$11,'Interest and Inflation WC'!$F$2:$F$11)*(_xlfn.XLOOKUP(E$2,'Interest and Inflation WC'!$G$2:$G$11,'Interest and Inflation WC'!$K$2:$K$11) + 'Interest and Inflation WC'!$K$12)</f>
        <v>37229491.682008147</v>
      </c>
      <c r="F24" s="4">
        <f>'Summary WC'!$B$13*((1+0.05)^(1/2))*_xlfn.XLOOKUP(F$2,'Interest and Inflation WC'!$G$2:$G$11,'Interest and Inflation WC'!$F$2:$F$11)*(_xlfn.XLOOKUP(F$2,'Interest and Inflation WC'!$G$2:$G$11,'Interest and Inflation WC'!$K$2:$K$11) + 'Interest and Inflation WC'!$K$12)</f>
        <v>39440205.871204428</v>
      </c>
      <c r="G24" s="3">
        <f>'Summary WC'!$B$13*((1+_xlfn.XLOOKUP(G$2,'Interest and Inflation WC'!$A$2:$A$11,'Interest and Inflation WC'!$D$2:$D$11))^(1/2))*_xlfn.XLOOKUP(G$2,'Interest and Inflation WC'!$G$2:$G$11,'Interest and Inflation WC'!$F$2:$F$11)*(_xlfn.XLOOKUP(G$2,'Interest and Inflation WC'!$G$2:$G$11,'Interest and Inflation WC'!$K$2:$K$11) + 'Interest and Inflation WC'!$K$12)</f>
        <v>40767272.254774302</v>
      </c>
      <c r="H24" s="3">
        <f>'Summary WC'!$B$13*((1+_xlfn.XLOOKUP(H$2,'Interest and Inflation WC'!$A$2:$A$11,'Interest and Inflation WC'!$D$2:$D$11))^(1/2))*_xlfn.XLOOKUP(H$2,'Interest and Inflation WC'!$G$2:$G$11,'Interest and Inflation WC'!$F$2:$F$11)*(_xlfn.XLOOKUP(H$2,'Interest and Inflation WC'!$G$2:$G$11,'Interest and Inflation WC'!$K$2:$K$11) + 'Interest and Inflation WC'!$K$12)</f>
        <v>42636623.511743195</v>
      </c>
      <c r="I24" s="3">
        <f>'Summary WC'!$B$13*((1+_xlfn.XLOOKUP(I$2,'Interest and Inflation WC'!$A$2:$A$11,'Interest and Inflation WC'!$D$2:$D$11))^(1/2))*_xlfn.XLOOKUP(I$2,'Interest and Inflation WC'!$G$2:$G$11,'Interest and Inflation WC'!$F$2:$F$11)*(_xlfn.XLOOKUP(I$2,'Interest and Inflation WC'!$G$2:$G$11,'Interest and Inflation WC'!$K$2:$K$11) + 'Interest and Inflation WC'!$K$12)</f>
        <v>44574976.570858844</v>
      </c>
      <c r="J24" s="3">
        <f>'Summary WC'!$B$13*((1+_xlfn.XLOOKUP(J$2,'Interest and Inflation WC'!$A$2:$A$11,'Interest and Inflation WC'!$D$2:$D$11))^(1/2))*_xlfn.XLOOKUP(J$2,'Interest and Inflation WC'!$G$2:$G$11,'Interest and Inflation WC'!$F$2:$F$11)*(_xlfn.XLOOKUP(J$2,'Interest and Inflation WC'!$G$2:$G$11,'Interest and Inflation WC'!$K$2:$K$11) + 'Interest and Inflation WC'!$K$12)</f>
        <v>46584227.471916854</v>
      </c>
      <c r="K24" s="3">
        <f>'Summary WC'!$B$13*((1+_xlfn.XLOOKUP(K$2,'Interest and Inflation WC'!$A$2:$A$11,'Interest and Inflation WC'!$D$2:$D$11))^(1/2))*_xlfn.XLOOKUP(K$2,'Interest and Inflation WC'!$G$2:$G$11,'Interest and Inflation WC'!$F$2:$F$11)*(_xlfn.XLOOKUP(K$2,'Interest and Inflation WC'!$G$2:$G$11,'Interest and Inflation WC'!$K$2:$K$11) + 'Interest and Inflation WC'!$K$12)</f>
        <v>48666470.53003823</v>
      </c>
      <c r="L24" s="3">
        <f>'Summary WC'!$B$13*((1+_xlfn.XLOOKUP(L$2,'Interest and Inflation WC'!$A$2:$A$11,'Interest and Inflation WC'!$D$2:$D$11))^(1/2))*_xlfn.XLOOKUP(L$2,'Interest and Inflation WC'!$G$2:$G$11,'Interest and Inflation WC'!$F$2:$F$11)*(_xlfn.XLOOKUP(L$2,'Interest and Inflation WC'!$G$2:$G$11,'Interest and Inflation WC'!$K$2:$K$11) + 'Interest and Inflation WC'!$K$12)</f>
        <v>50823951.395635791</v>
      </c>
      <c r="M24" s="3"/>
    </row>
    <row r="25" spans="1:13">
      <c r="B25" t="s">
        <v>26</v>
      </c>
      <c r="C25" s="3">
        <f>C21+C22+C23-C24</f>
        <v>-8493348.3272800148</v>
      </c>
      <c r="D25" s="3">
        <f t="shared" ref="D25:L25" si="7">D21+D22+D23-D24</f>
        <v>-17534363.503590409</v>
      </c>
      <c r="E25" s="3">
        <f t="shared" si="7"/>
        <v>-27150406.643453866</v>
      </c>
      <c r="F25" s="3">
        <f t="shared" si="7"/>
        <v>-37843279.095473059</v>
      </c>
      <c r="G25" s="3">
        <f t="shared" si="7"/>
        <v>-48698872.483853631</v>
      </c>
      <c r="H25" s="3">
        <f t="shared" si="7"/>
        <v>-60211461.907110073</v>
      </c>
      <c r="I25" s="3">
        <f t="shared" si="7"/>
        <v>-72409668.658133164</v>
      </c>
      <c r="J25" s="3">
        <f t="shared" si="7"/>
        <v>-85323101.559432089</v>
      </c>
      <c r="K25" s="3">
        <f t="shared" si="7"/>
        <v>-98982440.023705468</v>
      </c>
      <c r="L25" s="3">
        <f t="shared" si="7"/>
        <v>-113419492.95638832</v>
      </c>
      <c r="M25" s="3"/>
    </row>
    <row r="26" spans="1:13">
      <c r="B26" t="s">
        <v>27</v>
      </c>
      <c r="C26" s="3">
        <f>C25*((1+_xlfn.XLOOKUP(C$2,'Interest and Inflation WC'!$A$2:$A$11,'Interest and Inflation WC'!$C$2:$C$11))^(1/2)-1)</f>
        <v>-75005.893281623721</v>
      </c>
      <c r="D26" s="3">
        <f>D25*((1+_xlfn.XLOOKUP(D$2,'Interest and Inflation WC'!$A$2:$A$11,'Interest and Inflation WC'!$C$2:$C$11))^(1/2)-1)</f>
        <v>-156082.64332469509</v>
      </c>
      <c r="E26" s="3">
        <f>E25*((1+_xlfn.XLOOKUP(E$2,'Interest and Inflation WC'!$A$2:$A$11,'Interest and Inflation WC'!$C$2:$C$11))^(1/2)-1)</f>
        <v>-242810.90010745748</v>
      </c>
      <c r="F26" s="3">
        <f>F25*((1+_xlfn.XLOOKUP(F$2,'Interest and Inflation WC'!$A$2:$A$11,'Interest and Inflation WC'!$C$2:$C$11))^(1/2)-1)</f>
        <v>-339371.66271167819</v>
      </c>
      <c r="G26" s="3">
        <f>G25*((1+_xlfn.XLOOKUP(G$2,'Interest and Inflation WC'!$A$2:$A$11,'Interest and Inflation WC'!$C$2:$C$11))^(1/2)-1)</f>
        <v>-437432.64336643147</v>
      </c>
      <c r="H26" s="3">
        <f>H25*((1+_xlfn.XLOOKUP(H$2,'Interest and Inflation WC'!$A$2:$A$11,'Interest and Inflation WC'!$C$2:$C$11))^(1/2)-1)</f>
        <v>-541362.68378816254</v>
      </c>
      <c r="I26" s="3">
        <f>I25*((1+_xlfn.XLOOKUP(I$2,'Interest and Inflation WC'!$A$2:$A$11,'Interest and Inflation WC'!$C$2:$C$11))^(1/2)-1)</f>
        <v>-651406.60035802796</v>
      </c>
      <c r="J26" s="3">
        <f>J25*((1+_xlfn.XLOOKUP(J$2,'Interest and Inflation WC'!$A$2:$A$11,'Interest and Inflation WC'!$C$2:$C$11))^(1/2)-1)</f>
        <v>-767835.10608493548</v>
      </c>
      <c r="K26" s="3">
        <f>K25*((1+_xlfn.XLOOKUP(K$2,'Interest and Inflation WC'!$A$2:$A$11,'Interest and Inflation WC'!$C$2:$C$11))^(1/2)-1)</f>
        <v>-890934.32089144096</v>
      </c>
      <c r="L26" s="3">
        <f>L25*((1+_xlfn.XLOOKUP(L$2,'Interest and Inflation WC'!$A$2:$A$11,'Interest and Inflation WC'!$C$2:$C$11))^(1/2)-1)</f>
        <v>-1021001.2074963921</v>
      </c>
      <c r="M26" s="3"/>
    </row>
    <row r="27" spans="1:13">
      <c r="B27" t="s">
        <v>28</v>
      </c>
      <c r="C27" s="3">
        <f>C25+C26</f>
        <v>-8568354.2205616385</v>
      </c>
      <c r="D27" s="3">
        <f t="shared" ref="D27:L27" si="8">D25+D26</f>
        <v>-17690446.146915104</v>
      </c>
      <c r="E27" s="3">
        <f t="shared" si="8"/>
        <v>-27393217.543561324</v>
      </c>
      <c r="F27" s="3">
        <f t="shared" si="8"/>
        <v>-38182650.758184738</v>
      </c>
      <c r="G27" s="3">
        <f t="shared" si="8"/>
        <v>-49136305.127220064</v>
      </c>
      <c r="H27" s="3">
        <f t="shared" si="8"/>
        <v>-60752824.590898238</v>
      </c>
      <c r="I27" s="3">
        <f t="shared" si="8"/>
        <v>-73061075.258491188</v>
      </c>
      <c r="J27" s="3">
        <f t="shared" si="8"/>
        <v>-86090936.665517032</v>
      </c>
      <c r="K27" s="3">
        <f t="shared" si="8"/>
        <v>-99873374.344596907</v>
      </c>
      <c r="L27" s="3">
        <f t="shared" si="8"/>
        <v>-114440494.16388471</v>
      </c>
      <c r="M27" s="3"/>
    </row>
    <row r="29" spans="1:13">
      <c r="A29" s="2"/>
      <c r="B29" s="2"/>
    </row>
    <row r="30" spans="1:13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3"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3:12"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3:12"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3:12"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3:12">
      <c r="C36" s="6"/>
      <c r="D36" s="6"/>
      <c r="E36" s="6"/>
      <c r="F36" s="6"/>
      <c r="G36" s="6"/>
      <c r="H36" s="6"/>
      <c r="I36" s="6"/>
      <c r="J36" s="6"/>
      <c r="K36" s="6"/>
      <c r="L3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8EB3-C694-4707-A3AA-00B542319C4D}">
  <dimension ref="A1:M36"/>
  <sheetViews>
    <sheetView zoomScale="110" zoomScaleNormal="110" workbookViewId="0">
      <selection activeCell="B23" sqref="B23"/>
    </sheetView>
  </sheetViews>
  <sheetFormatPr defaultColWidth="8.85546875" defaultRowHeight="14.45"/>
  <cols>
    <col min="1" max="1" width="31.42578125" bestFit="1" customWidth="1"/>
    <col min="2" max="2" width="37.42578125" bestFit="1" customWidth="1"/>
    <col min="3" max="9" width="17.5703125" bestFit="1" customWidth="1"/>
    <col min="10" max="12" width="17.42578125" bestFit="1" customWidth="1"/>
    <col min="13" max="13" width="18.85546875" bestFit="1" customWidth="1"/>
    <col min="14" max="14" width="14.140625" customWidth="1"/>
  </cols>
  <sheetData>
    <row r="1" spans="1:13">
      <c r="A1" s="9" t="s">
        <v>16</v>
      </c>
    </row>
    <row r="2" spans="1:13">
      <c r="A2" s="2"/>
      <c r="B2" s="2" t="s">
        <v>32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</row>
    <row r="3" spans="1:13">
      <c r="B3" t="s">
        <v>22</v>
      </c>
      <c r="C3" s="4">
        <v>0</v>
      </c>
      <c r="D3" s="3">
        <f>C9</f>
        <v>3242954441.5056181</v>
      </c>
      <c r="E3" s="3">
        <f t="shared" ref="E3:M3" si="0">D9</f>
        <v>6700287774.8289175</v>
      </c>
      <c r="F3" s="3">
        <f t="shared" si="0"/>
        <v>10383109250.256718</v>
      </c>
      <c r="G3" s="3">
        <f t="shared" si="0"/>
        <v>14137138875.024212</v>
      </c>
      <c r="H3" s="3">
        <f t="shared" si="0"/>
        <v>18300708161.699562</v>
      </c>
      <c r="I3" s="3">
        <f t="shared" si="0"/>
        <v>22722747154.745819</v>
      </c>
      <c r="J3" s="3">
        <f t="shared" si="0"/>
        <v>27414756988.306725</v>
      </c>
      <c r="K3" s="3">
        <f t="shared" si="0"/>
        <v>32388615951.556587</v>
      </c>
      <c r="L3" s="3">
        <f t="shared" si="0"/>
        <v>37656618675.178902</v>
      </c>
      <c r="M3" s="3">
        <f t="shared" si="0"/>
        <v>43231504420.851883</v>
      </c>
    </row>
    <row r="4" spans="1:13">
      <c r="B4" t="s">
        <v>60</v>
      </c>
      <c r="C4" s="10">
        <f>'Summary CL'!$B$8</f>
        <v>14788826443</v>
      </c>
      <c r="D4" s="3">
        <f>$C4*(_xlfn.XLOOKUP(C2, 'Interest and Inflation CL'!$A$2:$A$11, 'Interest and Inflation CL'!$F$2:$F$11))*(_xlfn.XLOOKUP(C2, 'Interest and Inflation CL'!$A$2:$A$11, 'Interest and Inflation CL'!$K$2:$K$11))</f>
        <v>15489403586.567368</v>
      </c>
      <c r="E4" s="3">
        <f>$C4*(_xlfn.XLOOKUP(D2, 'Interest and Inflation CL'!$A$2:$A$11, 'Interest and Inflation CL'!$F$2:$F$11))*(_xlfn.XLOOKUP(D2, 'Interest and Inflation CL'!$A$2:$A$11, 'Interest and Inflation CL'!$K$2:$K$11))</f>
        <v>16219516902.15699</v>
      </c>
      <c r="F4" s="3">
        <f>$C4*(_xlfn.XLOOKUP(E2, 'Interest and Inflation CL'!$A$2:$A$11, 'Interest and Inflation CL'!$F$2:$F$11))*(_xlfn.XLOOKUP(E2, 'Interest and Inflation CL'!$A$2:$A$11, 'Interest and Inflation CL'!$K$2:$K$11))</f>
        <v>16978781659.963181</v>
      </c>
      <c r="G4" s="3">
        <f>$C4*(_xlfn.XLOOKUP(F2, 'Interest and Inflation CL'!$A$2:$A$11, 'Interest and Inflation CL'!$F$2:$F$11))*(_xlfn.XLOOKUP(F2, 'Interest and Inflation CL'!$A$2:$A$11, 'Interest and Inflation CL'!$K$2:$K$11))</f>
        <v>17767315692.627304</v>
      </c>
      <c r="H4" s="3">
        <f>$C4*(_xlfn.XLOOKUP(G2, 'Interest and Inflation CL'!$A$2:$A$11, 'Interest and Inflation CL'!$F$2:$F$11))*(_xlfn.XLOOKUP(G2, 'Interest and Inflation CL'!$A$2:$A$11, 'Interest and Inflation CL'!$K$2:$K$11))</f>
        <v>18585559703.756531</v>
      </c>
      <c r="I4" s="3">
        <f>$C4*(_xlfn.XLOOKUP(H2, 'Interest and Inflation CL'!$A$2:$A$11, 'Interest and Inflation CL'!$F$2:$F$11))*(_xlfn.XLOOKUP(H2, 'Interest and Inflation CL'!$A$2:$A$11, 'Interest and Inflation CL'!$K$2:$K$11))</f>
        <v>19434166173.238464</v>
      </c>
      <c r="J4" s="3">
        <f>$C4*(_xlfn.XLOOKUP(I2, 'Interest and Inflation CL'!$A$2:$A$11, 'Interest and Inflation CL'!$F$2:$F$11))*(_xlfn.XLOOKUP(I2, 'Interest and Inflation CL'!$A$2:$A$11, 'Interest and Inflation CL'!$K$2:$K$11))</f>
        <v>20313930811.011974</v>
      </c>
      <c r="K4" s="3">
        <f>$C4*(_xlfn.XLOOKUP(J2, 'Interest and Inflation CL'!$A$2:$A$11, 'Interest and Inflation CL'!$F$2:$F$11))*(_xlfn.XLOOKUP(J2, 'Interest and Inflation CL'!$A$2:$A$11, 'Interest and Inflation CL'!$K$2:$K$11))</f>
        <v>21225750283.845837</v>
      </c>
      <c r="L4" s="3">
        <f>$C4*(_xlfn.XLOOKUP(K2, 'Interest and Inflation CL'!$A$2:$A$11, 'Interest and Inflation CL'!$F$2:$F$11))*(_xlfn.XLOOKUP(K2, 'Interest and Inflation CL'!$A$2:$A$11, 'Interest and Inflation CL'!$K$2:$K$11))</f>
        <v>22170596399.653999</v>
      </c>
      <c r="M4" s="3"/>
    </row>
    <row r="5" spans="1:13">
      <c r="A5" t="s">
        <v>29</v>
      </c>
      <c r="B5" t="s">
        <v>24</v>
      </c>
      <c r="C5" s="11">
        <f>(C3+C4)*((1+_xlfn.XLOOKUP(C$2,'Interest and Inflation CL'!$A$2:$A$11,'Interest and Inflation CL'!$C$2:$C$11))^(1/2)-1)</f>
        <v>130602101.22093847</v>
      </c>
      <c r="D5" s="3">
        <f>(D3+D4)*((1+_xlfn.XLOOKUP(D$2,'Interest and Inflation CL'!$A$2:$A$11,'Interest and Inflation CL'!$C$2:$C$11))^(1/2)-1)</f>
        <v>166746626.19646937</v>
      </c>
      <c r="E5" s="3">
        <f>(E3+E4)*((1+_xlfn.XLOOKUP(E$2,'Interest and Inflation CL'!$A$2:$A$11,'Interest and Inflation CL'!$C$2:$C$11))^(1/2)-1)</f>
        <v>204975876.6779967</v>
      </c>
      <c r="F5" s="3">
        <f>(F3+F4)*((1+_xlfn.XLOOKUP(F$2,'Interest and Inflation CL'!$A$2:$A$11,'Interest and Inflation CL'!$C$2:$C$11))^(1/2)-1)</f>
        <v>245376474.6366201</v>
      </c>
      <c r="G5" s="3">
        <f>(G3+G4)*((1+_xlfn.XLOOKUP(G$2,'Interest and Inflation CL'!$A$2:$A$11,'Interest and Inflation CL'!$C$2:$C$11))^(1/2)-1)</f>
        <v>286578501.40820456</v>
      </c>
      <c r="H5" s="3">
        <f>(H3+H4)*((1+_xlfn.XLOOKUP(H$2,'Interest and Inflation CL'!$A$2:$A$11,'Interest and Inflation CL'!$C$2:$C$11))^(1/2)-1)</f>
        <v>331645310.27960885</v>
      </c>
      <c r="I5" s="3">
        <f>(I3+I4)*((1+_xlfn.XLOOKUP(I$2,'Interest and Inflation CL'!$A$2:$A$11,'Interest and Inflation CL'!$C$2:$C$11))^(1/2)-1)</f>
        <v>379248960.82901472</v>
      </c>
      <c r="J5" s="3">
        <f>(J3+J4)*((1+_xlfn.XLOOKUP(J$2,'Interest and Inflation CL'!$A$2:$A$11,'Interest and Inflation CL'!$C$2:$C$11))^(1/2)-1)</f>
        <v>429517462.32709926</v>
      </c>
      <c r="K5" s="3">
        <f>(K3+K4)*((1+_xlfn.XLOOKUP(K$2,'Interest and Inflation CL'!$A$2:$A$11,'Interest and Inflation CL'!$C$2:$C$11))^(1/2)-1)</f>
        <v>482579323.77221137</v>
      </c>
      <c r="L5" s="3">
        <f>(L3+L4)*((1+_xlfn.XLOOKUP(L$2,'Interest and Inflation CL'!$A$2:$A$11,'Interest and Inflation CL'!$C$2:$C$11))^(1/2)-1)</f>
        <v>538564026.69723117</v>
      </c>
      <c r="M5" s="3"/>
    </row>
    <row r="6" spans="1:13">
      <c r="A6" t="s">
        <v>33</v>
      </c>
      <c r="B6" t="s">
        <v>61</v>
      </c>
      <c r="C6" s="10">
        <f>'Summary CL'!$B$11*((1+_xlfn.XLOOKUP(C$2,'Interest and Inflation CL'!$A$2:$A$11,'Interest and Inflation CL'!$D$2:$D$11))^(1/2))*(1+'Interest and Inflation CL'!$K$12)</f>
        <v>11704862365.909788</v>
      </c>
      <c r="D6" s="3">
        <f>'Summary CL'!$B$11*((1+_xlfn.XLOOKUP(D$2,'Interest and Inflation CL'!$A$2:$A$11,'Interest and Inflation CL'!$D$2:$D$11))^(1/2))*_xlfn.XLOOKUP(D$2,'Interest and Inflation CL'!$G$2:$G$11,'Interest and Inflation CL'!$F$2:$F$11)*(_xlfn.XLOOKUP(D$2,'Interest and Inflation CL'!$G$2:$G$11,'Interest and Inflation CL'!$K$2:$K$11) + 'Interest and Inflation CL'!$K$12)</f>
        <v>12257933456.730127</v>
      </c>
      <c r="E6" s="3">
        <f>'Summary CL'!$B$11*((1+_xlfn.XLOOKUP(E$2,'Interest and Inflation CL'!$A$2:$A$11,'Interest and Inflation CL'!$D$2:$D$11))^(1/2))*_xlfn.XLOOKUP(E$2,'Interest and Inflation CL'!$G$2:$G$11,'Interest and Inflation CL'!$F$2:$F$11)*(_xlfn.XLOOKUP(E$2,'Interest and Inflation CL'!$G$2:$G$11,'Interest and Inflation CL'!$K$2:$K$11) + 'Interest and Inflation CL'!$K$12)</f>
        <v>12833706205.804461</v>
      </c>
      <c r="F6" s="4">
        <f>'Summary CL'!$B$11*((1+0.05)^(1/2))*_xlfn.XLOOKUP(F$2,'Interest and Inflation CL'!$G$2:$G$11,'Interest and Inflation CL'!$F$2:$F$11)*(_xlfn.XLOOKUP(F$2,'Interest and Inflation CL'!$G$2:$G$11,'Interest and Inflation CL'!$K$2:$K$11) + 'Interest and Inflation CL'!$K$12)</f>
        <v>13595780978.446587</v>
      </c>
      <c r="G6" s="3">
        <f>'Summary CL'!$B$11*((1+_xlfn.XLOOKUP(G$2,'Interest and Inflation CL'!$A$2:$A$11,'Interest and Inflation CL'!$D$2:$D$11))^(1/2))*_xlfn.XLOOKUP(G$2,'Interest and Inflation CL'!$G$2:$G$11,'Interest and Inflation CL'!$F$2:$F$11)*(_xlfn.XLOOKUP(G$2,'Interest and Inflation CL'!$G$2:$G$11,'Interest and Inflation CL'!$K$2:$K$11) + 'Interest and Inflation CL'!$K$12)</f>
        <v>14053245727.839495</v>
      </c>
      <c r="H6" s="3">
        <f>'Summary CL'!$B$11*((1+_xlfn.XLOOKUP(H$2,'Interest and Inflation CL'!$A$2:$A$11,'Interest and Inflation CL'!$D$2:$D$11))^(1/2))*_xlfn.XLOOKUP(H$2,'Interest and Inflation CL'!$G$2:$G$11,'Interest and Inflation CL'!$F$2:$F$11)*(_xlfn.XLOOKUP(H$2,'Interest and Inflation CL'!$G$2:$G$11,'Interest and Inflation CL'!$K$2:$K$11) + 'Interest and Inflation CL'!$K$12)</f>
        <v>14697646275.456533</v>
      </c>
      <c r="I6" s="3">
        <f>'Summary CL'!$B$11*((1+_xlfn.XLOOKUP(I$2,'Interest and Inflation CL'!$A$2:$A$11,'Interest and Inflation CL'!$D$2:$D$11))^(1/2))*_xlfn.XLOOKUP(I$2,'Interest and Inflation CL'!$G$2:$G$11,'Interest and Inflation CL'!$F$2:$F$11)*(_xlfn.XLOOKUP(I$2,'Interest and Inflation CL'!$G$2:$G$11,'Interest and Inflation CL'!$K$2:$K$11) + 'Interest and Inflation CL'!$K$12)</f>
        <v>15365833042.450039</v>
      </c>
      <c r="J6" s="3">
        <f>'Summary CL'!$B$11*((1+_xlfn.XLOOKUP(J$2,'Interest and Inflation CL'!$A$2:$A$11,'Interest and Inflation CL'!$D$2:$D$11))^(1/2))*_xlfn.XLOOKUP(J$2,'Interest and Inflation CL'!$G$2:$G$11,'Interest and Inflation CL'!$F$2:$F$11)*(_xlfn.XLOOKUP(J$2,'Interest and Inflation CL'!$G$2:$G$11,'Interest and Inflation CL'!$K$2:$K$11) + 'Interest and Inflation CL'!$K$12)</f>
        <v>16058459629.409</v>
      </c>
      <c r="K6" s="3">
        <f>'Summary CL'!$B$11*((1+_xlfn.XLOOKUP(K$2,'Interest and Inflation CL'!$A$2:$A$11,'Interest and Inflation CL'!$D$2:$D$11))^(1/2))*_xlfn.XLOOKUP(K$2,'Interest and Inflation CL'!$G$2:$G$11,'Interest and Inflation CL'!$F$2:$F$11)*(_xlfn.XLOOKUP(K$2,'Interest and Inflation CL'!$G$2:$G$11,'Interest and Inflation CL'!$K$2:$K$11) + 'Interest and Inflation CL'!$K$12)</f>
        <v>16776247986.157366</v>
      </c>
      <c r="L6" s="3">
        <f>'Summary CL'!$B$11*((1+_xlfn.XLOOKUP(L$2,'Interest and Inflation CL'!$A$2:$A$11,'Interest and Inflation CL'!$D$2:$D$11))^(1/2))*_xlfn.XLOOKUP(L$2,'Interest and Inflation CL'!$G$2:$G$11,'Interest and Inflation CL'!$F$2:$F$11)*(_xlfn.XLOOKUP(L$2,'Interest and Inflation CL'!$G$2:$G$11,'Interest and Inflation CL'!$K$2:$K$11) + 'Interest and Inflation CL'!$K$12)</f>
        <v>17519972230.641338</v>
      </c>
      <c r="M6" s="3"/>
    </row>
    <row r="7" spans="1:13">
      <c r="B7" t="s">
        <v>26</v>
      </c>
      <c r="C7" s="3">
        <f>C3+C4+C5-C6</f>
        <v>3214566178.3111496</v>
      </c>
      <c r="D7" s="3">
        <f t="shared" ref="D7:L7" si="1">D3+D4+D5-D6</f>
        <v>6641171197.5393276</v>
      </c>
      <c r="E7" s="3">
        <f t="shared" si="1"/>
        <v>10291074347.859446</v>
      </c>
      <c r="F7" s="3">
        <f t="shared" si="1"/>
        <v>14011486406.409931</v>
      </c>
      <c r="G7" s="3">
        <f t="shared" si="1"/>
        <v>18137787341.220222</v>
      </c>
      <c r="H7" s="3">
        <f t="shared" si="1"/>
        <v>22520266900.279167</v>
      </c>
      <c r="I7" s="3">
        <f t="shared" si="1"/>
        <v>27170329246.363262</v>
      </c>
      <c r="J7" s="3">
        <f t="shared" si="1"/>
        <v>32099745632.236797</v>
      </c>
      <c r="K7" s="3">
        <f t="shared" si="1"/>
        <v>37320697573.017265</v>
      </c>
      <c r="L7" s="3">
        <f t="shared" si="1"/>
        <v>42845806870.888794</v>
      </c>
      <c r="M7" s="3"/>
    </row>
    <row r="8" spans="1:13">
      <c r="B8" t="s">
        <v>27</v>
      </c>
      <c r="C8" s="3">
        <f>C7*((1+_xlfn.XLOOKUP(C$2,'Interest and Inflation CL'!$A$2:$A$11,'Interest and Inflation CL'!$C$2:$C$11))^(1/2)-1)</f>
        <v>28388263.194468413</v>
      </c>
      <c r="D8" s="3">
        <f>D7*((1+_xlfn.XLOOKUP(D$2,'Interest and Inflation CL'!$A$2:$A$11,'Interest and Inflation CL'!$C$2:$C$11))^(1/2)-1)</f>
        <v>59116577.289590031</v>
      </c>
      <c r="E8" s="3">
        <f>E7*((1+_xlfn.XLOOKUP(E$2,'Interest and Inflation CL'!$A$2:$A$11,'Interest and Inflation CL'!$C$2:$C$11))^(1/2)-1)</f>
        <v>92034902.397271857</v>
      </c>
      <c r="F8" s="3">
        <f>F7*((1+_xlfn.XLOOKUP(F$2,'Interest and Inflation CL'!$A$2:$A$11,'Interest and Inflation CL'!$C$2:$C$11))^(1/2)-1)</f>
        <v>125652468.61428128</v>
      </c>
      <c r="G8" s="3">
        <f>G7*((1+_xlfn.XLOOKUP(G$2,'Interest and Inflation CL'!$A$2:$A$11,'Interest and Inflation CL'!$C$2:$C$11))^(1/2)-1)</f>
        <v>162920820.47933945</v>
      </c>
      <c r="H8" s="3">
        <f>H7*((1+_xlfn.XLOOKUP(H$2,'Interest and Inflation CL'!$A$2:$A$11,'Interest and Inflation CL'!$C$2:$C$11))^(1/2)-1)</f>
        <v>202480254.46665341</v>
      </c>
      <c r="I8" s="3">
        <f>I7*((1+_xlfn.XLOOKUP(I$2,'Interest and Inflation CL'!$A$2:$A$11,'Interest and Inflation CL'!$C$2:$C$11))^(1/2)-1)</f>
        <v>244427741.94346243</v>
      </c>
      <c r="J8" s="3">
        <f>J7*((1+_xlfn.XLOOKUP(J$2,'Interest and Inflation CL'!$A$2:$A$11,'Interest and Inflation CL'!$C$2:$C$11))^(1/2)-1)</f>
        <v>288870319.31978959</v>
      </c>
      <c r="K8" s="3">
        <f>K7*((1+_xlfn.XLOOKUP(K$2,'Interest and Inflation CL'!$A$2:$A$11,'Interest and Inflation CL'!$C$2:$C$11))^(1/2)-1)</f>
        <v>335921102.16163409</v>
      </c>
      <c r="L8" s="3">
        <f>L7*((1+_xlfn.XLOOKUP(L$2,'Interest and Inflation CL'!$A$2:$A$11,'Interest and Inflation CL'!$C$2:$C$11))^(1/2)-1)</f>
        <v>385697549.9630878</v>
      </c>
      <c r="M8" s="3"/>
    </row>
    <row r="9" spans="1:13">
      <c r="B9" t="s">
        <v>28</v>
      </c>
      <c r="C9" s="3">
        <f>C7+C8</f>
        <v>3242954441.5056181</v>
      </c>
      <c r="D9" s="3">
        <f t="shared" ref="D9:L9" si="2">D7+D8</f>
        <v>6700287774.8289175</v>
      </c>
      <c r="E9" s="3">
        <f t="shared" si="2"/>
        <v>10383109250.256718</v>
      </c>
      <c r="F9" s="3">
        <f t="shared" si="2"/>
        <v>14137138875.024212</v>
      </c>
      <c r="G9" s="3">
        <f t="shared" si="2"/>
        <v>18300708161.699562</v>
      </c>
      <c r="H9" s="3">
        <f t="shared" si="2"/>
        <v>22722747154.745819</v>
      </c>
      <c r="I9" s="3">
        <f t="shared" si="2"/>
        <v>27414756988.306725</v>
      </c>
      <c r="J9" s="3">
        <f t="shared" si="2"/>
        <v>32388615951.556587</v>
      </c>
      <c r="K9" s="3">
        <f t="shared" si="2"/>
        <v>37656618675.178902</v>
      </c>
      <c r="L9" s="3">
        <f t="shared" si="2"/>
        <v>43231504420.851883</v>
      </c>
      <c r="M9" s="3"/>
    </row>
    <row r="11" spans="1:13">
      <c r="A11" s="2"/>
      <c r="B11" s="2" t="s">
        <v>62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</row>
    <row r="12" spans="1:13">
      <c r="B12" t="s">
        <v>22</v>
      </c>
      <c r="C12" s="4">
        <v>0</v>
      </c>
      <c r="D12" s="3">
        <f t="shared" ref="D12:M12" si="3">C18</f>
        <v>145372375.14538822</v>
      </c>
      <c r="E12" s="3">
        <f t="shared" si="3"/>
        <v>303140328.09504229</v>
      </c>
      <c r="F12" s="3">
        <f t="shared" si="3"/>
        <v>474331300.97253722</v>
      </c>
      <c r="G12" s="3">
        <f t="shared" si="3"/>
        <v>451360364.65400022</v>
      </c>
      <c r="H12" s="3">
        <f t="shared" si="3"/>
        <v>648345884.65135944</v>
      </c>
      <c r="I12" s="3">
        <f t="shared" si="3"/>
        <v>861321542.2014879</v>
      </c>
      <c r="J12" s="3">
        <f t="shared" si="3"/>
        <v>1091137098.5676918</v>
      </c>
      <c r="K12" s="3">
        <f t="shared" si="3"/>
        <v>1338655503.6352913</v>
      </c>
      <c r="L12" s="3">
        <f t="shared" si="3"/>
        <v>1604761453.8953855</v>
      </c>
      <c r="M12" s="3">
        <f t="shared" si="3"/>
        <v>1890367142.7315347</v>
      </c>
    </row>
    <row r="13" spans="1:13">
      <c r="B13" t="s">
        <v>60</v>
      </c>
      <c r="C13" s="10">
        <f>'Summary CL'!$B$8</f>
        <v>14788826443</v>
      </c>
      <c r="D13" s="3">
        <f>$C13*(_xlfn.XLOOKUP(C11, 'Interest and Inflation CL'!$A$2:$A$11, 'Interest and Inflation CL'!$F$2:$F$11))*(_xlfn.XLOOKUP(C11, 'Interest and Inflation CL'!$A$2:$A$11, 'Interest and Inflation CL'!$K$2:$K$11))</f>
        <v>15489403586.567368</v>
      </c>
      <c r="E13" s="3">
        <f>$C13*(_xlfn.XLOOKUP(D11, 'Interest and Inflation CL'!$A$2:$A$11, 'Interest and Inflation CL'!$F$2:$F$11))*(_xlfn.XLOOKUP(D11, 'Interest and Inflation CL'!$A$2:$A$11, 'Interest and Inflation CL'!$K$2:$K$11))</f>
        <v>16219516902.15699</v>
      </c>
      <c r="F13" s="3">
        <f>$C13*(_xlfn.XLOOKUP(E11, 'Interest and Inflation CL'!$A$2:$A$11, 'Interest and Inflation CL'!$F$2:$F$11))*(_xlfn.XLOOKUP(E11, 'Interest and Inflation CL'!$A$2:$A$11, 'Interest and Inflation CL'!$K$2:$K$11))</f>
        <v>16978781659.963181</v>
      </c>
      <c r="G13" s="3">
        <f>$C13*(_xlfn.XLOOKUP(F11, 'Interest and Inflation CL'!$A$2:$A$11, 'Interest and Inflation CL'!$F$2:$F$11))*(_xlfn.XLOOKUP(F11, 'Interest and Inflation CL'!$A$2:$A$11, 'Interest and Inflation CL'!$K$2:$K$11))</f>
        <v>17767315692.627304</v>
      </c>
      <c r="H13" s="3">
        <f>$C13*(_xlfn.XLOOKUP(G11, 'Interest and Inflation CL'!$A$2:$A$11, 'Interest and Inflation CL'!$F$2:$F$11))*(_xlfn.XLOOKUP(G11, 'Interest and Inflation CL'!$A$2:$A$11, 'Interest and Inflation CL'!$K$2:$K$11))</f>
        <v>18585559703.756531</v>
      </c>
      <c r="I13" s="3">
        <f>$C13*(_xlfn.XLOOKUP(H11, 'Interest and Inflation CL'!$A$2:$A$11, 'Interest and Inflation CL'!$F$2:$F$11))*(_xlfn.XLOOKUP(H11, 'Interest and Inflation CL'!$A$2:$A$11, 'Interest and Inflation CL'!$K$2:$K$11))</f>
        <v>19434166173.238464</v>
      </c>
      <c r="J13" s="3">
        <f>$C13*(_xlfn.XLOOKUP(I11, 'Interest and Inflation CL'!$A$2:$A$11, 'Interest and Inflation CL'!$F$2:$F$11))*(_xlfn.XLOOKUP(I11, 'Interest and Inflation CL'!$A$2:$A$11, 'Interest and Inflation CL'!$K$2:$K$11))</f>
        <v>20313930811.011974</v>
      </c>
      <c r="K13" s="3">
        <f>$C13*(_xlfn.XLOOKUP(J11, 'Interest and Inflation CL'!$A$2:$A$11, 'Interest and Inflation CL'!$F$2:$F$11))*(_xlfn.XLOOKUP(J11, 'Interest and Inflation CL'!$A$2:$A$11, 'Interest and Inflation CL'!$K$2:$K$11))</f>
        <v>21225750283.845837</v>
      </c>
      <c r="L13" s="3">
        <f>$C13*(_xlfn.XLOOKUP(K11, 'Interest and Inflation CL'!$A$2:$A$11, 'Interest and Inflation CL'!$F$2:$F$11))*(_xlfn.XLOOKUP(K11, 'Interest and Inflation CL'!$A$2:$A$11, 'Interest and Inflation CL'!$K$2:$K$11))</f>
        <v>22170596399.653999</v>
      </c>
      <c r="M13" s="3"/>
    </row>
    <row r="14" spans="1:13">
      <c r="B14" t="s">
        <v>24</v>
      </c>
      <c r="C14" s="3">
        <f>(C12+C13)*((1+_xlfn.XLOOKUP(C$2,'Interest and Inflation CL'!$A$2:$A$11,'Interest and Inflation CL'!$C$2:$C$11))^(1/2)-1)</f>
        <v>130602101.22093847</v>
      </c>
      <c r="D14" s="3">
        <f>(D12+D13)*((1+_xlfn.XLOOKUP(D$2,'Interest and Inflation CL'!$A$2:$A$11,'Interest and Inflation CL'!$C$2:$C$11))^(1/2)-1)</f>
        <v>139173409.93836698</v>
      </c>
      <c r="E14" s="3">
        <f>(E12+E13)*((1+_xlfn.XLOOKUP(E$2,'Interest and Inflation CL'!$A$2:$A$11,'Interest and Inflation CL'!$C$2:$C$11))^(1/2)-1)</f>
        <v>147765052.91171306</v>
      </c>
      <c r="F14" s="3">
        <f>(F12+F13)*((1+_xlfn.XLOOKUP(F$2,'Interest and Inflation CL'!$A$2:$A$11,'Interest and Inflation CL'!$C$2:$C$11))^(1/2)-1)</f>
        <v>156516351.29462224</v>
      </c>
      <c r="G14" s="3">
        <f>(G12+G13)*((1+_xlfn.XLOOKUP(G$2,'Interest and Inflation CL'!$A$2:$A$11,'Interest and Inflation CL'!$C$2:$C$11))^(1/2)-1)</f>
        <v>163647395.10171589</v>
      </c>
      <c r="H14" s="3">
        <f>(H12+H13)*((1+_xlfn.XLOOKUP(H$2,'Interest and Inflation CL'!$A$2:$A$11,'Interest and Inflation CL'!$C$2:$C$11))^(1/2)-1)</f>
        <v>172932501.87368515</v>
      </c>
      <c r="I14" s="3">
        <f>(I12+I13)*((1+_xlfn.XLOOKUP(I$2,'Interest and Inflation CL'!$A$2:$A$11,'Interest and Inflation CL'!$C$2:$C$11))^(1/2)-1)</f>
        <v>182580792.04506758</v>
      </c>
      <c r="J14" s="3">
        <f>(J12+J13)*((1+_xlfn.XLOOKUP(J$2,'Interest and Inflation CL'!$A$2:$A$11,'Interest and Inflation CL'!$C$2:$C$11))^(1/2)-1)</f>
        <v>192627345.8034001</v>
      </c>
      <c r="K14" s="3">
        <f>(K12+K13)*((1+_xlfn.XLOOKUP(K$2,'Interest and Inflation CL'!$A$2:$A$11,'Interest and Inflation CL'!$C$2:$C$11))^(1/2)-1)</f>
        <v>203100706.97159821</v>
      </c>
      <c r="L14" s="3">
        <f>(L12+L13)*((1+_xlfn.XLOOKUP(L$2,'Interest and Inflation CL'!$A$2:$A$11,'Interest and Inflation CL'!$C$2:$C$11))^(1/2)-1)</f>
        <v>214025547.49972972</v>
      </c>
      <c r="M14" s="3"/>
    </row>
    <row r="15" spans="1:13">
      <c r="B15" t="s">
        <v>61</v>
      </c>
      <c r="C15" s="4">
        <f>'Summary CL'!$B$12*((1+_xlfn.XLOOKUP(C$2,'Interest and Inflation CL'!$A$2:$A$11,'Interest and Inflation CL'!$D$2:$D$11))^(1/2))*(1+'Interest and Inflation CL'!$K$12)</f>
        <v>14775328733.74498</v>
      </c>
      <c r="D15" s="3">
        <f>'Summary CL'!$B$12*((1+_xlfn.XLOOKUP(D$2,'Interest and Inflation CL'!$A$2:$A$11,'Interest and Inflation CL'!$D$2:$D$11))^(1/2))*_xlfn.XLOOKUP(D$2,'Interest and Inflation CL'!$G$2:$G$11,'Interest and Inflation CL'!$F$2:$F$11)*(_xlfn.XLOOKUP(D$2,'Interest and Inflation CL'!$G$2:$G$11,'Interest and Inflation CL'!$K$2:$K$11) + 'Interest and Inflation CL'!$K$12)</f>
        <v>15473483647.877218</v>
      </c>
      <c r="E15" s="3">
        <f>'Summary CL'!$B$12*((1+_xlfn.XLOOKUP(E$2,'Interest and Inflation CL'!$A$2:$A$11,'Interest and Inflation CL'!$D$2:$D$11))^(1/2))*_xlfn.XLOOKUP(E$2,'Interest and Inflation CL'!$G$2:$G$11,'Interest and Inflation CL'!$F$2:$F$11)*(_xlfn.XLOOKUP(E$2,'Interest and Inflation CL'!$G$2:$G$11,'Interest and Inflation CL'!$K$2:$K$11) + 'Interest and Inflation CL'!$K$12)</f>
        <v>16200295410.165218</v>
      </c>
      <c r="F15" s="4">
        <f>'Summary CL'!$B$12*((1+0.05)^(1/2))*_xlfn.XLOOKUP(F$2,'Interest and Inflation CL'!$G$2:$G$11,'Interest and Inflation CL'!$F$2:$F$11)*(_xlfn.XLOOKUP(F$2,'Interest and Inflation CL'!$G$2:$G$11,'Interest and Inflation CL'!$K$2:$K$11) + 'Interest and Inflation CL'!$K$12)</f>
        <v>17162280688.887985</v>
      </c>
      <c r="G15" s="3">
        <f>'Summary CL'!$B$12*((1+_xlfn.XLOOKUP(G$2,'Interest and Inflation CL'!$A$2:$A$11,'Interest and Inflation CL'!$D$2:$D$11))^(1/2))*_xlfn.XLOOKUP(G$2,'Interest and Inflation CL'!$G$2:$G$11,'Interest and Inflation CL'!$F$2:$F$11)*(_xlfn.XLOOKUP(G$2,'Interest and Inflation CL'!$G$2:$G$11,'Interest and Inflation CL'!$K$2:$K$11) + 'Interest and Inflation CL'!$K$12)</f>
        <v>17739749423.254871</v>
      </c>
      <c r="H15" s="3">
        <f>'Summary CL'!$B$12*((1+_xlfn.XLOOKUP(H$2,'Interest and Inflation CL'!$A$2:$A$11,'Interest and Inflation CL'!$D$2:$D$11))^(1/2))*_xlfn.XLOOKUP(H$2,'Interest and Inflation CL'!$G$2:$G$11,'Interest and Inflation CL'!$F$2:$F$11)*(_xlfn.XLOOKUP(H$2,'Interest and Inflation CL'!$G$2:$G$11,'Interest and Inflation CL'!$K$2:$K$11) + 'Interest and Inflation CL'!$K$12)</f>
        <v>18553191703.018654</v>
      </c>
      <c r="I15" s="3">
        <f>'Summary CL'!$B$12*((1+_xlfn.XLOOKUP(I$2,'Interest and Inflation CL'!$A$2:$A$11,'Interest and Inflation CL'!$D$2:$D$11))^(1/2))*_xlfn.XLOOKUP(I$2,'Interest and Inflation CL'!$G$2:$G$11,'Interest and Inflation CL'!$F$2:$F$11)*(_xlfn.XLOOKUP(I$2,'Interest and Inflation CL'!$G$2:$G$11,'Interest and Inflation CL'!$K$2:$K$11) + 'Interest and Inflation CL'!$K$12)</f>
        <v>19396659898.477436</v>
      </c>
      <c r="J15" s="3">
        <f>'Summary CL'!$B$12*((1+_xlfn.XLOOKUP(J$2,'Interest and Inflation CL'!$A$2:$A$11,'Interest and Inflation CL'!$D$2:$D$11))^(1/2))*_xlfn.XLOOKUP(J$2,'Interest and Inflation CL'!$G$2:$G$11,'Interest and Inflation CL'!$F$2:$F$11)*(_xlfn.XLOOKUP(J$2,'Interest and Inflation CL'!$G$2:$G$11,'Interest and Inflation CL'!$K$2:$K$11) + 'Interest and Inflation CL'!$K$12)</f>
        <v>20270979065.344032</v>
      </c>
      <c r="K15" s="3">
        <f>'Summary CL'!$B$12*((1+_xlfn.XLOOKUP(K$2,'Interest and Inflation CL'!$A$2:$A$11,'Interest and Inflation CL'!$D$2:$D$11))^(1/2))*_xlfn.XLOOKUP(K$2,'Interest and Inflation CL'!$G$2:$G$11,'Interest and Inflation CL'!$F$2:$F$11)*(_xlfn.XLOOKUP(K$2,'Interest and Inflation CL'!$G$2:$G$11,'Interest and Inflation CL'!$K$2:$K$11) + 'Interest and Inflation CL'!$K$12)</f>
        <v>21177060538.211262</v>
      </c>
      <c r="L15" s="3">
        <f>'Summary CL'!$B$12*((1+_xlfn.XLOOKUP(L$2,'Interest and Inflation CL'!$A$2:$A$11,'Interest and Inflation CL'!$D$2:$D$11))^(1/2))*_xlfn.XLOOKUP(L$2,'Interest and Inflation CL'!$G$2:$G$11,'Interest and Inflation CL'!$F$2:$F$11)*(_xlfn.XLOOKUP(L$2,'Interest and Inflation CL'!$G$2:$G$11,'Interest and Inflation CL'!$K$2:$K$11) + 'Interest and Inflation CL'!$K$12)</f>
        <v>22115881504.744919</v>
      </c>
      <c r="M15" s="3"/>
    </row>
    <row r="16" spans="1:13">
      <c r="B16" t="s">
        <v>26</v>
      </c>
      <c r="C16" s="3">
        <f>C12+C13+C14-C15</f>
        <v>144099810.47595787</v>
      </c>
      <c r="D16" s="3">
        <f t="shared" ref="D16:L16" si="4">D12+D13+D14-D15</f>
        <v>300465723.7739048</v>
      </c>
      <c r="E16" s="3">
        <f t="shared" si="4"/>
        <v>470126872.99852753</v>
      </c>
      <c r="F16" s="3">
        <f t="shared" si="4"/>
        <v>447348623.34235382</v>
      </c>
      <c r="G16" s="3">
        <f t="shared" si="4"/>
        <v>642574029.12814713</v>
      </c>
      <c r="H16" s="3">
        <f t="shared" si="4"/>
        <v>853646387.26292038</v>
      </c>
      <c r="I16" s="3">
        <f t="shared" si="4"/>
        <v>1081408609.0075836</v>
      </c>
      <c r="J16" s="3">
        <f t="shared" si="4"/>
        <v>1326716190.0390358</v>
      </c>
      <c r="K16" s="3">
        <f t="shared" si="4"/>
        <v>1590445956.2414665</v>
      </c>
      <c r="L16" s="3">
        <f t="shared" si="4"/>
        <v>1873501896.3041954</v>
      </c>
      <c r="M16" s="3"/>
    </row>
    <row r="17" spans="1:13">
      <c r="B17" t="s">
        <v>27</v>
      </c>
      <c r="C17" s="3">
        <f>C16*((1+_xlfn.XLOOKUP(C$2,'Interest and Inflation CL'!$A$2:$A$11,'Interest and Inflation CL'!$C$2:$C$11))^(1/2)-1)</f>
        <v>1272564.669430349</v>
      </c>
      <c r="D17" s="3">
        <f>D16*((1+_xlfn.XLOOKUP(D$2,'Interest and Inflation CL'!$A$2:$A$11,'Interest and Inflation CL'!$C$2:$C$11))^(1/2)-1)</f>
        <v>2674604.3211375093</v>
      </c>
      <c r="E17" s="3">
        <f>E16*((1+_xlfn.XLOOKUP(E$2,'Interest and Inflation CL'!$A$2:$A$11,'Interest and Inflation CL'!$C$2:$C$11))^(1/2)-1)</f>
        <v>4204427.9740097215</v>
      </c>
      <c r="F17" s="3">
        <f>F16*((1+_xlfn.XLOOKUP(F$2,'Interest and Inflation CL'!$A$2:$A$11,'Interest and Inflation CL'!$C$2:$C$11))^(1/2)-1)</f>
        <v>4011741.3116464261</v>
      </c>
      <c r="G17" s="3">
        <f>G16*((1+_xlfn.XLOOKUP(G$2,'Interest and Inflation CL'!$A$2:$A$11,'Interest and Inflation CL'!$C$2:$C$11))^(1/2)-1)</f>
        <v>5771855.5232123341</v>
      </c>
      <c r="H17" s="3">
        <f>H16*((1+_xlfn.XLOOKUP(H$2,'Interest and Inflation CL'!$A$2:$A$11,'Interest and Inflation CL'!$C$2:$C$11))^(1/2)-1)</f>
        <v>7675154.9385674829</v>
      </c>
      <c r="I17" s="3">
        <f>I16*((1+_xlfn.XLOOKUP(I$2,'Interest and Inflation CL'!$A$2:$A$11,'Interest and Inflation CL'!$C$2:$C$11))^(1/2)-1)</f>
        <v>9728489.5601080824</v>
      </c>
      <c r="J17" s="3">
        <f>J16*((1+_xlfn.XLOOKUP(J$2,'Interest and Inflation CL'!$A$2:$A$11,'Interest and Inflation CL'!$C$2:$C$11))^(1/2)-1)</f>
        <v>11939313.596255595</v>
      </c>
      <c r="K17" s="3">
        <f>K16*((1+_xlfn.XLOOKUP(K$2,'Interest and Inflation CL'!$A$2:$A$11,'Interest and Inflation CL'!$C$2:$C$11))^(1/2)-1)</f>
        <v>14315497.653918955</v>
      </c>
      <c r="L17" s="3">
        <f>L16*((1+_xlfn.XLOOKUP(L$2,'Interest and Inflation CL'!$A$2:$A$11,'Interest and Inflation CL'!$C$2:$C$11))^(1/2)-1)</f>
        <v>16865246.427339308</v>
      </c>
      <c r="M17" s="3"/>
    </row>
    <row r="18" spans="1:13">
      <c r="B18" t="s">
        <v>28</v>
      </c>
      <c r="C18" s="3">
        <f>C16+C17</f>
        <v>145372375.14538822</v>
      </c>
      <c r="D18" s="3">
        <f t="shared" ref="D18:L18" si="5">D16+D17</f>
        <v>303140328.09504229</v>
      </c>
      <c r="E18" s="3">
        <f t="shared" si="5"/>
        <v>474331300.97253722</v>
      </c>
      <c r="F18" s="3">
        <f t="shared" si="5"/>
        <v>451360364.65400022</v>
      </c>
      <c r="G18" s="3">
        <f t="shared" si="5"/>
        <v>648345884.65135944</v>
      </c>
      <c r="H18" s="3">
        <f t="shared" si="5"/>
        <v>861321542.2014879</v>
      </c>
      <c r="I18" s="3">
        <f t="shared" si="5"/>
        <v>1091137098.5676918</v>
      </c>
      <c r="J18" s="3">
        <f t="shared" si="5"/>
        <v>1338655503.6352913</v>
      </c>
      <c r="K18" s="3">
        <f t="shared" si="5"/>
        <v>1604761453.8953855</v>
      </c>
      <c r="L18" s="3">
        <f t="shared" si="5"/>
        <v>1890367142.7315347</v>
      </c>
      <c r="M18" s="3"/>
    </row>
    <row r="20" spans="1:13">
      <c r="A20" s="2"/>
      <c r="B20" s="2" t="s">
        <v>34</v>
      </c>
      <c r="C20">
        <v>0</v>
      </c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>
        <v>7</v>
      </c>
      <c r="K20">
        <v>8</v>
      </c>
      <c r="L20">
        <v>9</v>
      </c>
      <c r="M20">
        <v>10</v>
      </c>
    </row>
    <row r="21" spans="1:13">
      <c r="B21" t="s">
        <v>22</v>
      </c>
      <c r="C21" s="4">
        <v>0</v>
      </c>
      <c r="D21" s="3">
        <f t="shared" ref="D21:M21" si="6">C27</f>
        <v>-2493134853.9909215</v>
      </c>
      <c r="E21" s="3">
        <f t="shared" si="6"/>
        <v>-5145922657.95574</v>
      </c>
      <c r="F21" s="3">
        <f t="shared" si="6"/>
        <v>-7965923611.0832272</v>
      </c>
      <c r="G21" s="3">
        <f t="shared" si="6"/>
        <v>-11206127560.565289</v>
      </c>
      <c r="H21" s="3">
        <f t="shared" si="6"/>
        <v>-14387861221.89776</v>
      </c>
      <c r="I21" s="3">
        <f t="shared" si="6"/>
        <v>-17760147811.055008</v>
      </c>
      <c r="J21" s="3">
        <f t="shared" si="6"/>
        <v>-21331210360.889622</v>
      </c>
      <c r="K21" s="3">
        <f t="shared" si="6"/>
        <v>-25109568740.670967</v>
      </c>
      <c r="L21" s="3">
        <f t="shared" si="6"/>
        <v>-29104057187.322983</v>
      </c>
      <c r="M21" s="3">
        <f t="shared" si="6"/>
        <v>-33323837753.931248</v>
      </c>
    </row>
    <row r="22" spans="1:13">
      <c r="B22" t="s">
        <v>60</v>
      </c>
      <c r="C22" s="4">
        <f>'Summary CL'!$B$8</f>
        <v>14788826443</v>
      </c>
      <c r="D22" s="3">
        <f>$C22*(_xlfn.XLOOKUP(C20, 'Interest and Inflation CL'!$A$2:$A$11, 'Interest and Inflation CL'!$F$2:$F$11))*(_xlfn.XLOOKUP(C20, 'Interest and Inflation CL'!$A$2:$A$11, 'Interest and Inflation CL'!$K$2:$K$11))</f>
        <v>15489403586.567368</v>
      </c>
      <c r="E22" s="3">
        <f>$C22*(_xlfn.XLOOKUP(D20, 'Interest and Inflation CL'!$A$2:$A$11, 'Interest and Inflation CL'!$F$2:$F$11))*(_xlfn.XLOOKUP(D20, 'Interest and Inflation CL'!$A$2:$A$11, 'Interest and Inflation CL'!$K$2:$K$11))</f>
        <v>16219516902.15699</v>
      </c>
      <c r="F22" s="3">
        <f>$C22*(_xlfn.XLOOKUP(E20, 'Interest and Inflation CL'!$A$2:$A$11, 'Interest and Inflation CL'!$F$2:$F$11))*(_xlfn.XLOOKUP(E20, 'Interest and Inflation CL'!$A$2:$A$11, 'Interest and Inflation CL'!$K$2:$K$11))</f>
        <v>16978781659.963181</v>
      </c>
      <c r="G22" s="3">
        <f>$C22*(_xlfn.XLOOKUP(F20, 'Interest and Inflation CL'!$A$2:$A$11, 'Interest and Inflation CL'!$F$2:$F$11))*(_xlfn.XLOOKUP(F20, 'Interest and Inflation CL'!$A$2:$A$11, 'Interest and Inflation CL'!$K$2:$K$11))</f>
        <v>17767315692.627304</v>
      </c>
      <c r="H22" s="3">
        <f>$C22*(_xlfn.XLOOKUP(G20, 'Interest and Inflation CL'!$A$2:$A$11, 'Interest and Inflation CL'!$F$2:$F$11))*(_xlfn.XLOOKUP(G20, 'Interest and Inflation CL'!$A$2:$A$11, 'Interest and Inflation CL'!$K$2:$K$11))</f>
        <v>18585559703.756531</v>
      </c>
      <c r="I22" s="3">
        <f>$C22*(_xlfn.XLOOKUP(H20, 'Interest and Inflation CL'!$A$2:$A$11, 'Interest and Inflation CL'!$F$2:$F$11))*(_xlfn.XLOOKUP(H20, 'Interest and Inflation CL'!$A$2:$A$11, 'Interest and Inflation CL'!$K$2:$K$11))</f>
        <v>19434166173.238464</v>
      </c>
      <c r="J22" s="3">
        <f>$C22*(_xlfn.XLOOKUP(I20, 'Interest and Inflation CL'!$A$2:$A$11, 'Interest and Inflation CL'!$F$2:$F$11))*(_xlfn.XLOOKUP(I20, 'Interest and Inflation CL'!$A$2:$A$11, 'Interest and Inflation CL'!$K$2:$K$11))</f>
        <v>20313930811.011974</v>
      </c>
      <c r="K22" s="3">
        <f>$C22*(_xlfn.XLOOKUP(J20, 'Interest and Inflation CL'!$A$2:$A$11, 'Interest and Inflation CL'!$F$2:$F$11))*(_xlfn.XLOOKUP(J20, 'Interest and Inflation CL'!$A$2:$A$11, 'Interest and Inflation CL'!$K$2:$K$11))</f>
        <v>21225750283.845837</v>
      </c>
      <c r="L22" s="3">
        <f>$C22*(_xlfn.XLOOKUP(K20, 'Interest and Inflation CL'!$A$2:$A$11, 'Interest and Inflation CL'!$F$2:$F$11))*(_xlfn.XLOOKUP(K20, 'Interest and Inflation CL'!$A$2:$A$11, 'Interest and Inflation CL'!$K$2:$K$11))</f>
        <v>22170596399.653999</v>
      </c>
      <c r="M22" s="3"/>
    </row>
    <row r="23" spans="1:13">
      <c r="B23" t="s">
        <v>24</v>
      </c>
      <c r="C23" s="3">
        <f>(C21+C22)*((1+_xlfn.XLOOKUP(C$2,'Interest and Inflation CL'!$A$2:$A$11,'Interest and Inflation CL'!$C$2:$C$11))^(1/2)-1)</f>
        <v>130602101.22093847</v>
      </c>
      <c r="D23" s="3">
        <f>(D21+D22)*((1+_xlfn.XLOOKUP(D$2,'Interest and Inflation CL'!$A$2:$A$11,'Interest and Inflation CL'!$C$2:$C$11))^(1/2)-1)</f>
        <v>115686661.60726359</v>
      </c>
      <c r="E23" s="3">
        <f>(E21+E22)*((1+_xlfn.XLOOKUP(E$2,'Interest and Inflation CL'!$A$2:$A$11,'Interest and Inflation CL'!$C$2:$C$11))^(1/2)-1)</f>
        <v>99033116.563193351</v>
      </c>
      <c r="F23" s="3">
        <f>(F21+F22)*((1+_xlfn.XLOOKUP(F$2,'Interest and Inflation CL'!$A$2:$A$11,'Interest and Inflation CL'!$C$2:$C$11))^(1/2)-1)</f>
        <v>80825676.181919828</v>
      </c>
      <c r="G23" s="3">
        <f>(G21+G22)*((1+_xlfn.XLOOKUP(G$2,'Interest and Inflation CL'!$A$2:$A$11,'Interest and Inflation CL'!$C$2:$C$11))^(1/2)-1)</f>
        <v>58935201.614450842</v>
      </c>
      <c r="H23" s="3">
        <f>(H21+H22)*((1+_xlfn.XLOOKUP(H$2,'Interest and Inflation CL'!$A$2:$A$11,'Interest and Inflation CL'!$C$2:$C$11))^(1/2)-1)</f>
        <v>37741606.728937671</v>
      </c>
      <c r="I23" s="3">
        <f>(I21+I22)*((1+_xlfn.XLOOKUP(I$2,'Interest and Inflation CL'!$A$2:$A$11,'Interest and Inflation CL'!$C$2:$C$11))^(1/2)-1)</f>
        <v>15059682.366387358</v>
      </c>
      <c r="J23" s="3">
        <f>(J21+J22)*((1+_xlfn.XLOOKUP(J$2,'Interest and Inflation CL'!$A$2:$A$11,'Interest and Inflation CL'!$C$2:$C$11))^(1/2)-1)</f>
        <v>-9154647.8834253233</v>
      </c>
      <c r="K23" s="3">
        <f>(K21+K22)*((1+_xlfn.XLOOKUP(K$2,'Interest and Inflation CL'!$A$2:$A$11,'Interest and Inflation CL'!$C$2:$C$11))^(1/2)-1)</f>
        <v>-34957990.108835936</v>
      </c>
      <c r="L23" s="3">
        <f>(L21+L22)*((1+_xlfn.XLOOKUP(L$2,'Interest and Inflation CL'!$A$2:$A$11,'Interest and Inflation CL'!$C$2:$C$11))^(1/2)-1)</f>
        <v>-62414948.716627911</v>
      </c>
      <c r="M23" s="3"/>
    </row>
    <row r="24" spans="1:13">
      <c r="B24" t="s">
        <v>61</v>
      </c>
      <c r="C24" s="4">
        <f>'Summary CL'!$B$13*((1+_xlfn.XLOOKUP(C$2,'Interest and Inflation CL'!$A$2:$A$11,'Interest and Inflation CL'!$D$2:$D$11))^(1/2))*(1+'Interest and Inflation CL'!$K$12)</f>
        <v>17390738926.209244</v>
      </c>
      <c r="D24" s="3">
        <f>'Summary CL'!$B$13*((1+_xlfn.XLOOKUP(D$2,'Interest and Inflation CL'!$A$2:$A$11,'Interest and Inflation CL'!$D$2:$D$11))^(1/2))*_xlfn.XLOOKUP(D$2,'Interest and Inflation CL'!$G$2:$G$11,'Interest and Inflation CL'!$F$2:$F$11)*(_xlfn.XLOOKUP(D$2,'Interest and Inflation CL'!$G$2:$G$11,'Interest and Inflation CL'!$K$2:$K$11) + 'Interest and Inflation CL'!$K$12)</f>
        <v>18212475623.951496</v>
      </c>
      <c r="E24" s="3">
        <f>'Summary CL'!$B$13*((1+_xlfn.XLOOKUP(E$2,'Interest and Inflation CL'!$A$2:$A$11,'Interest and Inflation CL'!$D$2:$D$11))^(1/2))*_xlfn.XLOOKUP(E$2,'Interest and Inflation CL'!$G$2:$G$11,'Interest and Inflation CL'!$F$2:$F$11)*(_xlfn.XLOOKUP(E$2,'Interest and Inflation CL'!$G$2:$G$11,'Interest and Inflation CL'!$K$2:$K$11) + 'Interest and Inflation CL'!$K$12)</f>
        <v>19067941775.278538</v>
      </c>
      <c r="F24" s="4">
        <f>'Summary CL'!$B$13*((1+0.05)^(1/2))*_xlfn.XLOOKUP(F$2,'Interest and Inflation CL'!$G$2:$G$11,'Interest and Inflation CL'!$F$2:$F$11)*(_xlfn.XLOOKUP(F$2,'Interest and Inflation CL'!$G$2:$G$11,'Interest and Inflation CL'!$K$2:$K$11) + 'Interest and Inflation CL'!$K$12)</f>
        <v>20200209972.798637</v>
      </c>
      <c r="G24" s="3">
        <f>'Summary CL'!$B$13*((1+_xlfn.XLOOKUP(G$2,'Interest and Inflation CL'!$A$2:$A$11,'Interest and Inflation CL'!$D$2:$D$11))^(1/2))*_xlfn.XLOOKUP(G$2,'Interest and Inflation CL'!$G$2:$G$11,'Interest and Inflation CL'!$F$2:$F$11)*(_xlfn.XLOOKUP(G$2,'Interest and Inflation CL'!$G$2:$G$11,'Interest and Inflation CL'!$K$2:$K$11) + 'Interest and Inflation CL'!$K$12)</f>
        <v>20879897591.151711</v>
      </c>
      <c r="H24" s="3">
        <f>'Summary CL'!$B$13*((1+_xlfn.XLOOKUP(H$2,'Interest and Inflation CL'!$A$2:$A$11,'Interest and Inflation CL'!$D$2:$D$11))^(1/2))*_xlfn.XLOOKUP(H$2,'Interest and Inflation CL'!$G$2:$G$11,'Interest and Inflation CL'!$F$2:$F$11)*(_xlfn.XLOOKUP(H$2,'Interest and Inflation CL'!$G$2:$G$11,'Interest and Inflation CL'!$K$2:$K$11) + 'Interest and Inflation CL'!$K$12)</f>
        <v>21837328899.370525</v>
      </c>
      <c r="I24" s="3">
        <f>'Summary CL'!$B$13*((1+_xlfn.XLOOKUP(I$2,'Interest and Inflation CL'!$A$2:$A$11,'Interest and Inflation CL'!$D$2:$D$11))^(1/2))*_xlfn.XLOOKUP(I$2,'Interest and Inflation CL'!$G$2:$G$11,'Interest and Inflation CL'!$F$2:$F$11)*(_xlfn.XLOOKUP(I$2,'Interest and Inflation CL'!$G$2:$G$11,'Interest and Inflation CL'!$K$2:$K$11) + 'Interest and Inflation CL'!$K$12)</f>
        <v>22830101070.069061</v>
      </c>
      <c r="J24" s="3">
        <f>'Summary CL'!$B$13*((1+_xlfn.XLOOKUP(J$2,'Interest and Inflation CL'!$A$2:$A$11,'Interest and Inflation CL'!$D$2:$D$11))^(1/2))*_xlfn.XLOOKUP(J$2,'Interest and Inflation CL'!$G$2:$G$11,'Interest and Inflation CL'!$F$2:$F$11)*(_xlfn.XLOOKUP(J$2,'Interest and Inflation CL'!$G$2:$G$11,'Interest and Inflation CL'!$K$2:$K$11) + 'Interest and Inflation CL'!$K$12)</f>
        <v>23859185203.705379</v>
      </c>
      <c r="K24" s="3">
        <f>'Summary CL'!$B$13*((1+_xlfn.XLOOKUP(K$2,'Interest and Inflation CL'!$A$2:$A$11,'Interest and Inflation CL'!$D$2:$D$11))^(1/2))*_xlfn.XLOOKUP(K$2,'Interest and Inflation CL'!$G$2:$G$11,'Interest and Inflation CL'!$F$2:$F$11)*(_xlfn.XLOOKUP(K$2,'Interest and Inflation CL'!$G$2:$G$11,'Interest and Inflation CL'!$K$2:$K$11) + 'Interest and Inflation CL'!$K$12)</f>
        <v>24925653952.012897</v>
      </c>
      <c r="L24" s="3">
        <f>'Summary CL'!$B$13*((1+_xlfn.XLOOKUP(L$2,'Interest and Inflation CL'!$A$2:$A$11,'Interest and Inflation CL'!$D$2:$D$11))^(1/2))*_xlfn.XLOOKUP(L$2,'Interest and Inflation CL'!$G$2:$G$11,'Interest and Inflation CL'!$F$2:$F$11)*(_xlfn.XLOOKUP(L$2,'Interest and Inflation CL'!$G$2:$G$11,'Interest and Inflation CL'!$K$2:$K$11) + 'Interest and Inflation CL'!$K$12)</f>
        <v>26030657476.580845</v>
      </c>
      <c r="M24" s="3"/>
    </row>
    <row r="25" spans="1:13">
      <c r="B25" t="s">
        <v>26</v>
      </c>
      <c r="C25" s="3">
        <f>C21+C22+C23-C24</f>
        <v>-2471310381.988306</v>
      </c>
      <c r="D25" s="3">
        <f t="shared" ref="D25:L25" si="7">D21+D22+D23-D24</f>
        <v>-5100520229.767786</v>
      </c>
      <c r="E25" s="3">
        <f t="shared" si="7"/>
        <v>-7895314414.5140934</v>
      </c>
      <c r="F25" s="3">
        <f t="shared" si="7"/>
        <v>-11106526247.736765</v>
      </c>
      <c r="G25" s="3">
        <f t="shared" si="7"/>
        <v>-14259774257.475245</v>
      </c>
      <c r="H25" s="3">
        <f t="shared" si="7"/>
        <v>-17601888810.782818</v>
      </c>
      <c r="I25" s="3">
        <f t="shared" si="7"/>
        <v>-21141023025.519218</v>
      </c>
      <c r="J25" s="3">
        <f t="shared" si="7"/>
        <v>-24885619401.466454</v>
      </c>
      <c r="K25" s="3">
        <f t="shared" si="7"/>
        <v>-28844430398.946865</v>
      </c>
      <c r="L25" s="3">
        <f t="shared" si="7"/>
        <v>-33026533212.966457</v>
      </c>
      <c r="M25" s="3"/>
    </row>
    <row r="26" spans="1:13">
      <c r="B26" t="s">
        <v>27</v>
      </c>
      <c r="C26" s="3">
        <f>C25*((1+_xlfn.XLOOKUP(C$2,'Interest and Inflation CL'!$A$2:$A$11,'Interest and Inflation CL'!$C$2:$C$11))^(1/2)-1)</f>
        <v>-21824472.00261547</v>
      </c>
      <c r="D26" s="3">
        <f>D25*((1+_xlfn.XLOOKUP(D$2,'Interest and Inflation CL'!$A$2:$A$11,'Interest and Inflation CL'!$C$2:$C$11))^(1/2)-1)</f>
        <v>-45402428.187953554</v>
      </c>
      <c r="E26" s="3">
        <f>E25*((1+_xlfn.XLOOKUP(E$2,'Interest and Inflation CL'!$A$2:$A$11,'Interest and Inflation CL'!$C$2:$C$11))^(1/2)-1)</f>
        <v>-70609196.569133818</v>
      </c>
      <c r="F26" s="3">
        <f>F25*((1+_xlfn.XLOOKUP(F$2,'Interest and Inflation CL'!$A$2:$A$11,'Interest and Inflation CL'!$C$2:$C$11))^(1/2)-1)</f>
        <v>-99601312.828523144</v>
      </c>
      <c r="G26" s="3">
        <f>G25*((1+_xlfn.XLOOKUP(G$2,'Interest and Inflation CL'!$A$2:$A$11,'Interest and Inflation CL'!$C$2:$C$11))^(1/2)-1)</f>
        <v>-128086964.42251571</v>
      </c>
      <c r="H26" s="3">
        <f>H25*((1+_xlfn.XLOOKUP(H$2,'Interest and Inflation CL'!$A$2:$A$11,'Interest and Inflation CL'!$C$2:$C$11))^(1/2)-1)</f>
        <v>-158259000.27218875</v>
      </c>
      <c r="I26" s="3">
        <f>I25*((1+_xlfn.XLOOKUP(I$2,'Interest and Inflation CL'!$A$2:$A$11,'Interest and Inflation CL'!$C$2:$C$11))^(1/2)-1)</f>
        <v>-190187335.37040484</v>
      </c>
      <c r="J26" s="3">
        <f>J25*((1+_xlfn.XLOOKUP(J$2,'Interest and Inflation CL'!$A$2:$A$11,'Interest and Inflation CL'!$C$2:$C$11))^(1/2)-1)</f>
        <v>-223949339.20451248</v>
      </c>
      <c r="K26" s="3">
        <f>K25*((1+_xlfn.XLOOKUP(K$2,'Interest and Inflation CL'!$A$2:$A$11,'Interest and Inflation CL'!$C$2:$C$11))^(1/2)-1)</f>
        <v>-259626788.37611586</v>
      </c>
      <c r="L26" s="3">
        <f>L25*((1+_xlfn.XLOOKUP(L$2,'Interest and Inflation CL'!$A$2:$A$11,'Interest and Inflation CL'!$C$2:$C$11))^(1/2)-1)</f>
        <v>-297304540.96479166</v>
      </c>
      <c r="M26" s="3"/>
    </row>
    <row r="27" spans="1:13">
      <c r="B27" t="s">
        <v>28</v>
      </c>
      <c r="C27" s="3">
        <f>C25+C26</f>
        <v>-2493134853.9909215</v>
      </c>
      <c r="D27" s="3">
        <f t="shared" ref="D27:L27" si="8">D25+D26</f>
        <v>-5145922657.95574</v>
      </c>
      <c r="E27" s="3">
        <f t="shared" si="8"/>
        <v>-7965923611.0832272</v>
      </c>
      <c r="F27" s="3">
        <f t="shared" si="8"/>
        <v>-11206127560.565289</v>
      </c>
      <c r="G27" s="3">
        <f t="shared" si="8"/>
        <v>-14387861221.89776</v>
      </c>
      <c r="H27" s="3">
        <f t="shared" si="8"/>
        <v>-17760147811.055008</v>
      </c>
      <c r="I27" s="3">
        <f t="shared" si="8"/>
        <v>-21331210360.889622</v>
      </c>
      <c r="J27" s="3">
        <f t="shared" si="8"/>
        <v>-25109568740.670967</v>
      </c>
      <c r="K27" s="3">
        <f t="shared" si="8"/>
        <v>-29104057187.322983</v>
      </c>
      <c r="L27" s="3">
        <f t="shared" si="8"/>
        <v>-33323837753.931248</v>
      </c>
      <c r="M27" s="3"/>
    </row>
    <row r="29" spans="1:13">
      <c r="A29" s="2"/>
      <c r="B29" s="2"/>
    </row>
    <row r="30" spans="1:13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3"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3:12"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3:12"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3:12"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3:12">
      <c r="C36" s="6"/>
      <c r="D36" s="6"/>
      <c r="E36" s="6"/>
      <c r="F36" s="6"/>
      <c r="G36" s="6"/>
      <c r="H36" s="6"/>
      <c r="I36" s="6"/>
      <c r="J36" s="6"/>
      <c r="K36" s="6"/>
      <c r="L36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9E31-8E37-4194-A041-8574EAEBA405}">
  <dimension ref="A1:P13"/>
  <sheetViews>
    <sheetView topLeftCell="A11" zoomScale="163" zoomScaleNormal="100" workbookViewId="0">
      <selection activeCell="B13" sqref="B13"/>
    </sheetView>
  </sheetViews>
  <sheetFormatPr defaultColWidth="8.85546875" defaultRowHeight="14.45"/>
  <cols>
    <col min="1" max="1" width="27.85546875" bestFit="1" customWidth="1"/>
    <col min="2" max="2" width="21.42578125" bestFit="1" customWidth="1"/>
    <col min="3" max="4" width="17.42578125" bestFit="1" customWidth="1"/>
    <col min="5" max="5" width="18.42578125" bestFit="1" customWidth="1"/>
    <col min="7" max="7" width="26.85546875" bestFit="1" customWidth="1"/>
    <col min="8" max="8" width="17.42578125" bestFit="1" customWidth="1"/>
    <col min="9" max="9" width="16" bestFit="1" customWidth="1"/>
    <col min="10" max="10" width="16.42578125" bestFit="1" customWidth="1"/>
    <col min="11" max="11" width="17.42578125" bestFit="1" customWidth="1"/>
    <col min="13" max="13" width="26.85546875" bestFit="1" customWidth="1"/>
    <col min="14" max="17" width="16.42578125" bestFit="1" customWidth="1"/>
  </cols>
  <sheetData>
    <row r="1" spans="1:16">
      <c r="A1" s="1" t="s">
        <v>63</v>
      </c>
      <c r="D1" s="1" t="s">
        <v>64</v>
      </c>
      <c r="G1" s="1" t="s">
        <v>65</v>
      </c>
    </row>
    <row r="2" spans="1:16">
      <c r="B2" s="2" t="s">
        <v>66</v>
      </c>
      <c r="C2" s="2"/>
      <c r="E2" s="2" t="s">
        <v>66</v>
      </c>
      <c r="H2" s="2" t="s">
        <v>66</v>
      </c>
      <c r="I2" s="2"/>
      <c r="J2" s="2"/>
      <c r="O2" s="2"/>
      <c r="P2" s="2"/>
    </row>
    <row r="3" spans="1:16">
      <c r="A3" s="2" t="s">
        <v>11</v>
      </c>
      <c r="B3" s="6">
        <f>'Cargo Loss'!M21</f>
        <v>-33323837753.931248</v>
      </c>
      <c r="C3" s="6"/>
      <c r="D3" s="2" t="s">
        <v>11</v>
      </c>
      <c r="E3" s="6">
        <f>'Cargo Loss'!F27</f>
        <v>-11206127560.565289</v>
      </c>
      <c r="G3" s="2" t="s">
        <v>11</v>
      </c>
      <c r="H3" s="6">
        <f>'Cargo Loss'!D27</f>
        <v>-5145922657.95574</v>
      </c>
      <c r="I3" s="6"/>
      <c r="J3" s="6"/>
      <c r="O3" s="6"/>
      <c r="P3" s="6"/>
    </row>
    <row r="4" spans="1:16">
      <c r="A4" s="2" t="s">
        <v>67</v>
      </c>
      <c r="B4" s="6">
        <f>'Cargo Loss'!M12</f>
        <v>1890367142.7315347</v>
      </c>
      <c r="C4" s="6"/>
      <c r="D4" s="2" t="s">
        <v>67</v>
      </c>
      <c r="E4" s="6">
        <f>'Cargo Loss'!F18</f>
        <v>451360364.65400022</v>
      </c>
      <c r="G4" s="2" t="s">
        <v>67</v>
      </c>
      <c r="H4" s="6">
        <f>'Cargo Loss'!C18</f>
        <v>145372375.14538822</v>
      </c>
      <c r="I4" s="6"/>
      <c r="J4" s="6"/>
      <c r="O4" s="6"/>
      <c r="P4" s="6"/>
    </row>
    <row r="5" spans="1:16">
      <c r="A5" s="2" t="s">
        <v>13</v>
      </c>
      <c r="B5" s="6">
        <f>'Cargo Loss'!M3</f>
        <v>43231504420.851883</v>
      </c>
      <c r="C5" s="6"/>
      <c r="D5" s="2" t="s">
        <v>13</v>
      </c>
      <c r="E5" s="6">
        <f>'Cargo Loss'!F9</f>
        <v>14137138875.024212</v>
      </c>
      <c r="G5" s="2" t="s">
        <v>13</v>
      </c>
      <c r="H5" s="6">
        <f>'Cargo Loss'!C9</f>
        <v>3242954441.5056181</v>
      </c>
      <c r="I5" s="6"/>
      <c r="J5" s="6"/>
      <c r="O5" s="6"/>
      <c r="P5" s="6"/>
    </row>
    <row r="7" spans="1:16">
      <c r="C7" s="2"/>
      <c r="D7" s="2"/>
      <c r="E7" s="2"/>
      <c r="F7" s="2"/>
    </row>
    <row r="8" spans="1:16" ht="15">
      <c r="A8" s="2" t="s">
        <v>60</v>
      </c>
      <c r="B8" s="12">
        <v>14788826443</v>
      </c>
      <c r="C8" s="11"/>
    </row>
    <row r="10" spans="1:16">
      <c r="B10" s="2" t="s">
        <v>68</v>
      </c>
      <c r="C10" s="2"/>
    </row>
    <row r="11" spans="1:16" ht="15">
      <c r="A11" s="2" t="s">
        <v>69</v>
      </c>
      <c r="B11" s="11">
        <v>11436391362</v>
      </c>
    </row>
    <row r="12" spans="1:16">
      <c r="A12" s="2" t="s">
        <v>62</v>
      </c>
      <c r="B12" s="11">
        <v>14436431341</v>
      </c>
    </row>
    <row r="13" spans="1:16" ht="15">
      <c r="A13" s="2" t="s">
        <v>70</v>
      </c>
      <c r="B13" s="11">
        <v>16991852635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E4DB-A5A9-476E-88BD-1770B4C3F0AE}">
  <dimension ref="A1:P12"/>
  <sheetViews>
    <sheetView zoomScale="120" zoomScaleNormal="120" workbookViewId="0">
      <selection activeCell="K3" sqref="K3"/>
    </sheetView>
  </sheetViews>
  <sheetFormatPr defaultColWidth="8.85546875" defaultRowHeight="14.45"/>
  <cols>
    <col min="1" max="2" width="9" bestFit="1" customWidth="1"/>
    <col min="3" max="3" width="11.5703125" bestFit="1" customWidth="1"/>
    <col min="4" max="5" width="9" bestFit="1" customWidth="1"/>
    <col min="6" max="6" width="12" bestFit="1" customWidth="1"/>
    <col min="7" max="7" width="9" bestFit="1" customWidth="1"/>
  </cols>
  <sheetData>
    <row r="1" spans="1:16">
      <c r="A1" t="s">
        <v>35</v>
      </c>
      <c r="B1" t="s">
        <v>17</v>
      </c>
      <c r="C1" t="s">
        <v>36</v>
      </c>
      <c r="D1" t="s">
        <v>37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 spans="1:16">
      <c r="A2">
        <v>0</v>
      </c>
      <c r="B2">
        <v>2175</v>
      </c>
      <c r="C2" s="7">
        <v>1.7740255999999999E-2</v>
      </c>
      <c r="D2" s="8">
        <v>2.4352561000000002E-2</v>
      </c>
      <c r="E2">
        <f>1+D2</f>
        <v>1.0243525609999999</v>
      </c>
      <c r="F2">
        <f>PRODUCT(E2)</f>
        <v>1.0243525609999999</v>
      </c>
      <c r="G2">
        <v>1</v>
      </c>
      <c r="H2">
        <f>0.25/10*$G2 + 1</f>
        <v>1.0249999999999999</v>
      </c>
      <c r="I2">
        <f t="shared" ref="I2:I11" si="0">0.25/10*$G2 + 1</f>
        <v>1.0249999999999999</v>
      </c>
      <c r="J2">
        <f>0.15/10*$G2 + 1</f>
        <v>1.0149999999999999</v>
      </c>
      <c r="K2">
        <f>($K$11-1)/10*G2+1</f>
        <v>1.022472240365774</v>
      </c>
      <c r="N2" s="12">
        <v>58</v>
      </c>
      <c r="O2" s="12">
        <v>56</v>
      </c>
      <c r="P2" s="12">
        <v>39</v>
      </c>
    </row>
    <row r="3" spans="1:16">
      <c r="A3">
        <v>1</v>
      </c>
      <c r="B3">
        <v>2176</v>
      </c>
      <c r="C3">
        <v>1.7882294999999999E-2</v>
      </c>
      <c r="D3" s="8">
        <v>2.4616932000000001E-2</v>
      </c>
      <c r="E3">
        <f t="shared" ref="E3:E11" si="1">1+D3</f>
        <v>1.024616932</v>
      </c>
      <c r="F3">
        <f>PRODUCT($E$2:E3)</f>
        <v>1.0495689783381628</v>
      </c>
      <c r="G3">
        <v>2</v>
      </c>
      <c r="H3">
        <f t="shared" ref="H3:H11" si="2">0.25/10*$G3 + 1</f>
        <v>1.05</v>
      </c>
      <c r="I3">
        <f t="shared" si="0"/>
        <v>1.05</v>
      </c>
      <c r="J3">
        <f t="shared" ref="J3:J11" si="3">0.15/10*$G3 + 1</f>
        <v>1.03</v>
      </c>
      <c r="K3">
        <f t="shared" ref="K3:K10" si="4">($K$11-1)/10*G3+1</f>
        <v>1.044944480731548</v>
      </c>
      <c r="N3" s="12">
        <v>116</v>
      </c>
      <c r="O3" s="12">
        <v>113</v>
      </c>
      <c r="P3" s="12">
        <v>77</v>
      </c>
    </row>
    <row r="4" spans="1:16">
      <c r="A4">
        <v>2</v>
      </c>
      <c r="B4">
        <v>2177</v>
      </c>
      <c r="C4">
        <v>1.7966335E-2</v>
      </c>
      <c r="D4" s="8">
        <v>2.4773351999999998E-2</v>
      </c>
      <c r="E4">
        <f t="shared" si="1"/>
        <v>1.024773352</v>
      </c>
      <c r="F4">
        <f>PRODUCT($E$2:E4)</f>
        <v>1.0755703200868143</v>
      </c>
      <c r="G4">
        <v>3</v>
      </c>
      <c r="H4">
        <f t="shared" si="2"/>
        <v>1.075</v>
      </c>
      <c r="I4">
        <f t="shared" si="0"/>
        <v>1.075</v>
      </c>
      <c r="J4">
        <f t="shared" si="3"/>
        <v>1.0449999999999999</v>
      </c>
      <c r="K4">
        <f t="shared" si="4"/>
        <v>1.067416721097322</v>
      </c>
      <c r="N4" s="12">
        <v>580</v>
      </c>
      <c r="O4" s="12">
        <v>564</v>
      </c>
      <c r="P4" s="12">
        <v>387</v>
      </c>
    </row>
    <row r="5" spans="1:16">
      <c r="A5">
        <v>3</v>
      </c>
      <c r="B5">
        <v>2178</v>
      </c>
      <c r="C5">
        <v>1.8016059000000001E-2</v>
      </c>
      <c r="D5" s="8">
        <v>2.48659E-2</v>
      </c>
      <c r="E5">
        <f t="shared" si="1"/>
        <v>1.0248659</v>
      </c>
      <c r="F5">
        <f>PRODUCT($E$2:E5)</f>
        <v>1.102315344109061</v>
      </c>
      <c r="G5">
        <v>4</v>
      </c>
      <c r="H5">
        <f t="shared" si="2"/>
        <v>1.1000000000000001</v>
      </c>
      <c r="I5">
        <f t="shared" si="0"/>
        <v>1.1000000000000001</v>
      </c>
      <c r="J5">
        <f t="shared" si="3"/>
        <v>1.06</v>
      </c>
      <c r="K5">
        <f t="shared" si="4"/>
        <v>1.089888961463096</v>
      </c>
      <c r="N5" s="12">
        <v>232</v>
      </c>
      <c r="O5" s="12">
        <v>226</v>
      </c>
      <c r="P5" s="12">
        <v>155</v>
      </c>
    </row>
    <row r="6" spans="1:16">
      <c r="A6">
        <v>4</v>
      </c>
      <c r="B6">
        <v>2179</v>
      </c>
      <c r="C6">
        <v>1.8045479E-2</v>
      </c>
      <c r="D6" s="8">
        <v>2.4920657999999998E-2</v>
      </c>
      <c r="E6">
        <f t="shared" si="1"/>
        <v>1.0249206580000001</v>
      </c>
      <c r="F6">
        <f>PRODUCT($E$2:E6)</f>
        <v>1.1297857678077552</v>
      </c>
      <c r="G6">
        <v>5</v>
      </c>
      <c r="H6">
        <f t="shared" si="2"/>
        <v>1.125</v>
      </c>
      <c r="I6">
        <f t="shared" si="0"/>
        <v>1.125</v>
      </c>
      <c r="J6">
        <f t="shared" si="3"/>
        <v>1.075</v>
      </c>
      <c r="K6">
        <f t="shared" si="4"/>
        <v>1.11236120182887</v>
      </c>
      <c r="N6" s="16">
        <v>174</v>
      </c>
      <c r="O6" s="16">
        <v>169</v>
      </c>
      <c r="P6" s="16">
        <v>116</v>
      </c>
    </row>
    <row r="7" spans="1:16">
      <c r="A7">
        <v>5</v>
      </c>
      <c r="B7">
        <v>2180</v>
      </c>
      <c r="C7">
        <v>1.8062886E-2</v>
      </c>
      <c r="D7" s="8">
        <v>2.4953056000000001E-2</v>
      </c>
      <c r="E7">
        <f t="shared" si="1"/>
        <v>1.024953056</v>
      </c>
      <c r="F7">
        <f>PRODUCT($E$2:E7)</f>
        <v>1.157977375339865</v>
      </c>
      <c r="G7">
        <v>6</v>
      </c>
      <c r="H7">
        <f t="shared" si="2"/>
        <v>1.1499999999999999</v>
      </c>
      <c r="I7">
        <f t="shared" si="0"/>
        <v>1.1499999999999999</v>
      </c>
      <c r="J7">
        <f t="shared" si="3"/>
        <v>1.0900000000000001</v>
      </c>
      <c r="K7">
        <f t="shared" si="4"/>
        <v>1.134833442194644</v>
      </c>
      <c r="N7" s="12">
        <v>1160</v>
      </c>
      <c r="O7" s="12">
        <v>1128</v>
      </c>
      <c r="P7" s="12">
        <v>774</v>
      </c>
    </row>
    <row r="8" spans="1:16">
      <c r="A8">
        <v>6</v>
      </c>
      <c r="B8">
        <v>2181</v>
      </c>
      <c r="C8">
        <v>1.8073184999999999E-2</v>
      </c>
      <c r="D8" s="8">
        <v>2.4972225000000001E-2</v>
      </c>
      <c r="E8">
        <f t="shared" si="1"/>
        <v>1.024972225</v>
      </c>
      <c r="F8">
        <f>PRODUCT($E$2:E8)</f>
        <v>1.1868946469017616</v>
      </c>
      <c r="G8">
        <v>7</v>
      </c>
      <c r="H8">
        <f t="shared" si="2"/>
        <v>1.175</v>
      </c>
      <c r="I8">
        <f t="shared" si="0"/>
        <v>1.175</v>
      </c>
      <c r="J8">
        <f t="shared" si="3"/>
        <v>1.105</v>
      </c>
      <c r="K8">
        <f t="shared" si="4"/>
        <v>1.157305682560418</v>
      </c>
    </row>
    <row r="9" spans="1:16">
      <c r="A9">
        <v>7</v>
      </c>
      <c r="B9">
        <v>2182</v>
      </c>
      <c r="C9">
        <v>1.8079278000000001E-2</v>
      </c>
      <c r="D9" s="8">
        <v>2.4983565999999999E-2</v>
      </c>
      <c r="E9">
        <f t="shared" si="1"/>
        <v>1.024983566</v>
      </c>
      <c r="F9">
        <f>PRODUCT($E$2:E9)</f>
        <v>1.2165475076476784</v>
      </c>
      <c r="G9">
        <v>8</v>
      </c>
      <c r="H9">
        <f t="shared" si="2"/>
        <v>1.2</v>
      </c>
      <c r="I9">
        <f t="shared" si="0"/>
        <v>1.2</v>
      </c>
      <c r="J9">
        <f t="shared" si="3"/>
        <v>1.1200000000000001</v>
      </c>
      <c r="K9">
        <f t="shared" si="4"/>
        <v>1.179777922926192</v>
      </c>
    </row>
    <row r="10" spans="1:16">
      <c r="A10">
        <v>8</v>
      </c>
      <c r="B10">
        <v>2183</v>
      </c>
      <c r="C10">
        <v>1.8082883000000001E-2</v>
      </c>
      <c r="D10" s="8">
        <v>2.4990277000000002E-2</v>
      </c>
      <c r="E10">
        <f t="shared" si="1"/>
        <v>1.0249902769999999</v>
      </c>
      <c r="F10">
        <f>PRODUCT($E$2:E10)</f>
        <v>1.2469493668474534</v>
      </c>
      <c r="G10">
        <v>9</v>
      </c>
      <c r="H10">
        <f t="shared" si="2"/>
        <v>1.2250000000000001</v>
      </c>
      <c r="I10">
        <f t="shared" si="0"/>
        <v>1.2250000000000001</v>
      </c>
      <c r="J10">
        <f t="shared" si="3"/>
        <v>1.135</v>
      </c>
      <c r="K10">
        <f t="shared" si="4"/>
        <v>1.202250163291966</v>
      </c>
    </row>
    <row r="11" spans="1:16">
      <c r="A11">
        <v>9</v>
      </c>
      <c r="B11">
        <v>2184</v>
      </c>
      <c r="C11">
        <v>1.8085016999999998E-2</v>
      </c>
      <c r="D11" s="8">
        <v>2.4994247000000001E-2</v>
      </c>
      <c r="E11">
        <f t="shared" si="1"/>
        <v>1.024994247</v>
      </c>
      <c r="F11">
        <f>PRODUCT($E$2:E11)</f>
        <v>1.2781159273189322</v>
      </c>
      <c r="G11">
        <v>10</v>
      </c>
      <c r="H11">
        <f t="shared" si="2"/>
        <v>1.25</v>
      </c>
      <c r="I11">
        <f t="shared" si="0"/>
        <v>1.25</v>
      </c>
      <c r="J11">
        <f t="shared" si="3"/>
        <v>1.1499999999999999</v>
      </c>
      <c r="K11">
        <f>H11*(N7/SUM($N$7:$P$7)) + I11*(O7/SUM(N7:P7))+J11*(P7/SUM(N7:P7))</f>
        <v>1.22472240365774</v>
      </c>
    </row>
    <row r="12" spans="1:16">
      <c r="H12">
        <f>0.25/10/2</f>
        <v>1.2500000000000001E-2</v>
      </c>
      <c r="I12">
        <f>0.25/10/2</f>
        <v>1.2500000000000001E-2</v>
      </c>
      <c r="J12">
        <f>0.15/10/2</f>
        <v>7.4999999999999997E-3</v>
      </c>
      <c r="K12">
        <f>(K11-1)/10/2</f>
        <v>1.1236120182886999E-2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8CE1-EB91-42D0-95C3-58B5E696F423}">
  <dimension ref="A1:P13"/>
  <sheetViews>
    <sheetView zoomScale="144" zoomScaleNormal="100" workbookViewId="0">
      <selection activeCell="B13" sqref="B13"/>
    </sheetView>
  </sheetViews>
  <sheetFormatPr defaultColWidth="8.85546875" defaultRowHeight="14.45"/>
  <cols>
    <col min="1" max="1" width="27.85546875" bestFit="1" customWidth="1"/>
    <col min="2" max="2" width="21.28515625" bestFit="1" customWidth="1"/>
    <col min="3" max="4" width="17.28515625" bestFit="1" customWidth="1"/>
    <col min="5" max="5" width="18.28515625" bestFit="1" customWidth="1"/>
    <col min="7" max="7" width="26.85546875" bestFit="1" customWidth="1"/>
    <col min="8" max="8" width="17.28515625" bestFit="1" customWidth="1"/>
    <col min="9" max="9" width="16" bestFit="1" customWidth="1"/>
    <col min="10" max="10" width="16.28515625" bestFit="1" customWidth="1"/>
    <col min="11" max="11" width="17.28515625" bestFit="1" customWidth="1"/>
    <col min="13" max="13" width="26.85546875" bestFit="1" customWidth="1"/>
    <col min="14" max="15" width="16.28515625" bestFit="1" customWidth="1"/>
    <col min="16" max="16" width="16.42578125" bestFit="1" customWidth="1"/>
    <col min="17" max="17" width="16.28515625" bestFit="1" customWidth="1"/>
  </cols>
  <sheetData>
    <row r="1" spans="1:16">
      <c r="A1" s="1" t="s">
        <v>77</v>
      </c>
      <c r="D1" s="1" t="s">
        <v>78</v>
      </c>
      <c r="G1" s="1" t="s">
        <v>79</v>
      </c>
    </row>
    <row r="2" spans="1:16">
      <c r="B2" s="2" t="s">
        <v>66</v>
      </c>
      <c r="C2" s="2"/>
      <c r="E2" s="2" t="s">
        <v>66</v>
      </c>
      <c r="H2" s="2" t="s">
        <v>66</v>
      </c>
      <c r="I2" s="2"/>
      <c r="J2" s="2"/>
      <c r="O2" s="2"/>
      <c r="P2" s="2"/>
    </row>
    <row r="3" spans="1:16">
      <c r="A3" s="2" t="s">
        <v>11</v>
      </c>
      <c r="B3" s="6">
        <f>'Workers Compensation'!M21</f>
        <v>-114440494.16388471</v>
      </c>
      <c r="C3" s="6"/>
      <c r="D3" s="2" t="s">
        <v>11</v>
      </c>
      <c r="E3" s="6">
        <f>'Workers Compensation'!F27</f>
        <v>-38182650.758184738</v>
      </c>
      <c r="G3" s="2" t="s">
        <v>11</v>
      </c>
      <c r="H3" s="6">
        <f>'Workers Compensation'!D27</f>
        <v>-17690446.146915104</v>
      </c>
      <c r="I3" s="6"/>
      <c r="J3" s="6"/>
      <c r="O3" s="6"/>
      <c r="P3" s="6"/>
    </row>
    <row r="4" spans="1:16">
      <c r="A4" s="2" t="s">
        <v>67</v>
      </c>
      <c r="B4" s="6">
        <f>'Workers Compensation'!M12</f>
        <v>875681.55837875034</v>
      </c>
      <c r="C4" s="6"/>
      <c r="D4" s="2" t="s">
        <v>67</v>
      </c>
      <c r="E4" s="6">
        <f>'Workers Compensation'!F18</f>
        <v>-7802.5680968298993</v>
      </c>
      <c r="G4" s="2" t="s">
        <v>67</v>
      </c>
      <c r="H4" s="6">
        <f>'Workers Compensation'!C18</f>
        <v>71981.807822747185</v>
      </c>
      <c r="I4" s="6"/>
      <c r="J4" s="6"/>
      <c r="O4" s="6"/>
      <c r="P4" s="6"/>
    </row>
    <row r="5" spans="1:16">
      <c r="A5" s="2" t="s">
        <v>13</v>
      </c>
      <c r="B5" s="6">
        <f>'Workers Compensation'!M3</f>
        <v>114145388.01427414</v>
      </c>
      <c r="C5" s="6"/>
      <c r="D5" s="2" t="s">
        <v>13</v>
      </c>
      <c r="E5" s="6">
        <f>'Workers Compensation'!F9</f>
        <v>37489572.11855612</v>
      </c>
      <c r="G5" s="2" t="s">
        <v>13</v>
      </c>
      <c r="H5" s="6">
        <f>'Workers Compensation'!C9</f>
        <v>8558981.3071171641</v>
      </c>
      <c r="I5" s="6"/>
      <c r="J5" s="6"/>
      <c r="O5" s="6"/>
      <c r="P5" s="6"/>
    </row>
    <row r="7" spans="1:16">
      <c r="C7" s="2"/>
      <c r="D7" s="2"/>
      <c r="E7" s="2"/>
      <c r="F7" s="2"/>
    </row>
    <row r="8" spans="1:16">
      <c r="A8" s="2" t="s">
        <v>60</v>
      </c>
      <c r="B8" s="12">
        <v>25238578</v>
      </c>
      <c r="C8" s="11"/>
    </row>
    <row r="10" spans="1:16">
      <c r="B10" s="2" t="s">
        <v>68</v>
      </c>
      <c r="C10" s="2"/>
    </row>
    <row r="11" spans="1:16">
      <c r="A11" s="2" t="s">
        <v>69</v>
      </c>
      <c r="B11" s="11">
        <v>16588000</v>
      </c>
    </row>
    <row r="12" spans="1:16">
      <c r="A12" s="2" t="s">
        <v>62</v>
      </c>
      <c r="B12" s="11">
        <v>24807746</v>
      </c>
    </row>
    <row r="13" spans="1:16">
      <c r="A13" s="2" t="s">
        <v>70</v>
      </c>
      <c r="B13" s="11">
        <v>33176000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627D-B3EB-4094-8F3A-14F7AEAFA255}">
  <dimension ref="A1:P12"/>
  <sheetViews>
    <sheetView zoomScale="172" workbookViewId="0">
      <selection activeCell="K12" sqref="K12"/>
    </sheetView>
  </sheetViews>
  <sheetFormatPr defaultColWidth="8.85546875" defaultRowHeight="14.45"/>
  <cols>
    <col min="1" max="2" width="9" bestFit="1" customWidth="1"/>
    <col min="3" max="3" width="11.7109375" bestFit="1" customWidth="1"/>
    <col min="4" max="5" width="9" bestFit="1" customWidth="1"/>
    <col min="6" max="6" width="12" bestFit="1" customWidth="1"/>
    <col min="7" max="7" width="9" bestFit="1" customWidth="1"/>
  </cols>
  <sheetData>
    <row r="1" spans="1:16">
      <c r="A1" t="s">
        <v>35</v>
      </c>
      <c r="B1" t="s">
        <v>17</v>
      </c>
      <c r="C1" t="s">
        <v>36</v>
      </c>
      <c r="D1" t="s">
        <v>37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 spans="1:16">
      <c r="A2">
        <v>0</v>
      </c>
      <c r="B2">
        <v>2175</v>
      </c>
      <c r="C2" s="7">
        <v>1.7740255999999999E-2</v>
      </c>
      <c r="D2" s="8">
        <v>2.4352561000000002E-2</v>
      </c>
      <c r="E2">
        <f>1+D2</f>
        <v>1.0243525609999999</v>
      </c>
      <c r="F2">
        <f>PRODUCT(E2)</f>
        <v>1.0243525609999999</v>
      </c>
      <c r="G2">
        <v>1</v>
      </c>
      <c r="H2">
        <f>0.25/10*$G2 + 1</f>
        <v>1.0249999999999999</v>
      </c>
      <c r="I2">
        <f t="shared" ref="I2:I11" si="0">0.25/10*$G2 + 1</f>
        <v>1.0249999999999999</v>
      </c>
      <c r="J2">
        <f>0.15/10*$G2 + 1</f>
        <v>1.0149999999999999</v>
      </c>
      <c r="K2">
        <f>($K$11-1)/10*G2+1</f>
        <v>1.022472240365774</v>
      </c>
      <c r="N2" s="12">
        <v>58</v>
      </c>
      <c r="O2" s="12">
        <v>56</v>
      </c>
      <c r="P2" s="12">
        <v>39</v>
      </c>
    </row>
    <row r="3" spans="1:16">
      <c r="A3">
        <v>1</v>
      </c>
      <c r="B3">
        <v>2176</v>
      </c>
      <c r="C3">
        <v>1.7882294999999999E-2</v>
      </c>
      <c r="D3" s="8">
        <v>2.4616932000000001E-2</v>
      </c>
      <c r="E3">
        <f t="shared" ref="E3:E11" si="1">1+D3</f>
        <v>1.024616932</v>
      </c>
      <c r="F3">
        <f>PRODUCT($E$2:E3)</f>
        <v>1.0495689783381628</v>
      </c>
      <c r="G3">
        <v>2</v>
      </c>
      <c r="H3">
        <f t="shared" ref="H3:H11" si="2">0.25/10*$G3 + 1</f>
        <v>1.05</v>
      </c>
      <c r="I3">
        <f t="shared" si="0"/>
        <v>1.05</v>
      </c>
      <c r="J3">
        <f t="shared" ref="J3:J11" si="3">0.15/10*$G3 + 1</f>
        <v>1.03</v>
      </c>
      <c r="K3">
        <f t="shared" ref="K3:K10" si="4">($K$11-1)/10*G3+1</f>
        <v>1.044944480731548</v>
      </c>
      <c r="N3" s="12">
        <v>116</v>
      </c>
      <c r="O3" s="12">
        <v>113</v>
      </c>
      <c r="P3" s="12">
        <v>77</v>
      </c>
    </row>
    <row r="4" spans="1:16">
      <c r="A4">
        <v>2</v>
      </c>
      <c r="B4">
        <v>2177</v>
      </c>
      <c r="C4">
        <v>1.7966335E-2</v>
      </c>
      <c r="D4" s="8">
        <v>2.4773351999999998E-2</v>
      </c>
      <c r="E4">
        <f t="shared" si="1"/>
        <v>1.024773352</v>
      </c>
      <c r="F4">
        <f>PRODUCT($E$2:E4)</f>
        <v>1.0755703200868143</v>
      </c>
      <c r="G4">
        <v>3</v>
      </c>
      <c r="H4">
        <f t="shared" si="2"/>
        <v>1.075</v>
      </c>
      <c r="I4">
        <f t="shared" si="0"/>
        <v>1.075</v>
      </c>
      <c r="J4">
        <f t="shared" si="3"/>
        <v>1.0449999999999999</v>
      </c>
      <c r="K4">
        <f t="shared" si="4"/>
        <v>1.067416721097322</v>
      </c>
      <c r="N4" s="12">
        <v>580</v>
      </c>
      <c r="O4" s="12">
        <v>564</v>
      </c>
      <c r="P4" s="12">
        <v>387</v>
      </c>
    </row>
    <row r="5" spans="1:16">
      <c r="A5">
        <v>3</v>
      </c>
      <c r="B5">
        <v>2178</v>
      </c>
      <c r="C5">
        <v>1.8016059000000001E-2</v>
      </c>
      <c r="D5" s="8">
        <v>2.48659E-2</v>
      </c>
      <c r="E5">
        <f t="shared" si="1"/>
        <v>1.0248659</v>
      </c>
      <c r="F5">
        <f>PRODUCT($E$2:E5)</f>
        <v>1.102315344109061</v>
      </c>
      <c r="G5">
        <v>4</v>
      </c>
      <c r="H5">
        <f t="shared" si="2"/>
        <v>1.1000000000000001</v>
      </c>
      <c r="I5">
        <f t="shared" si="0"/>
        <v>1.1000000000000001</v>
      </c>
      <c r="J5">
        <f t="shared" si="3"/>
        <v>1.06</v>
      </c>
      <c r="K5">
        <f t="shared" si="4"/>
        <v>1.089888961463096</v>
      </c>
      <c r="N5" s="12">
        <v>232</v>
      </c>
      <c r="O5" s="12">
        <v>226</v>
      </c>
      <c r="P5" s="12">
        <v>155</v>
      </c>
    </row>
    <row r="6" spans="1:16">
      <c r="A6">
        <v>4</v>
      </c>
      <c r="B6">
        <v>2179</v>
      </c>
      <c r="C6">
        <v>1.8045479E-2</v>
      </c>
      <c r="D6" s="8">
        <v>2.4920657999999998E-2</v>
      </c>
      <c r="E6">
        <f t="shared" si="1"/>
        <v>1.0249206580000001</v>
      </c>
      <c r="F6">
        <f>PRODUCT($E$2:E6)</f>
        <v>1.1297857678077552</v>
      </c>
      <c r="G6">
        <v>5</v>
      </c>
      <c r="H6">
        <f t="shared" si="2"/>
        <v>1.125</v>
      </c>
      <c r="I6">
        <f t="shared" si="0"/>
        <v>1.125</v>
      </c>
      <c r="J6">
        <f t="shared" si="3"/>
        <v>1.075</v>
      </c>
      <c r="K6">
        <f t="shared" si="4"/>
        <v>1.11236120182887</v>
      </c>
      <c r="N6" s="16">
        <v>174</v>
      </c>
      <c r="O6" s="16">
        <v>169</v>
      </c>
      <c r="P6" s="16">
        <v>116</v>
      </c>
    </row>
    <row r="7" spans="1:16">
      <c r="A7">
        <v>5</v>
      </c>
      <c r="B7">
        <v>2180</v>
      </c>
      <c r="C7">
        <v>1.8062886E-2</v>
      </c>
      <c r="D7" s="8">
        <v>2.4953056000000001E-2</v>
      </c>
      <c r="E7">
        <f t="shared" si="1"/>
        <v>1.024953056</v>
      </c>
      <c r="F7">
        <f>PRODUCT($E$2:E7)</f>
        <v>1.157977375339865</v>
      </c>
      <c r="G7">
        <v>6</v>
      </c>
      <c r="H7">
        <f t="shared" si="2"/>
        <v>1.1499999999999999</v>
      </c>
      <c r="I7">
        <f t="shared" si="0"/>
        <v>1.1499999999999999</v>
      </c>
      <c r="J7">
        <f t="shared" si="3"/>
        <v>1.0900000000000001</v>
      </c>
      <c r="K7">
        <f t="shared" si="4"/>
        <v>1.134833442194644</v>
      </c>
      <c r="N7" s="12">
        <v>1160</v>
      </c>
      <c r="O7" s="12">
        <v>1128</v>
      </c>
      <c r="P7" s="12">
        <v>774</v>
      </c>
    </row>
    <row r="8" spans="1:16">
      <c r="A8">
        <v>6</v>
      </c>
      <c r="B8">
        <v>2181</v>
      </c>
      <c r="C8">
        <v>1.8073184999999999E-2</v>
      </c>
      <c r="D8" s="8">
        <v>2.4972225000000001E-2</v>
      </c>
      <c r="E8">
        <f t="shared" si="1"/>
        <v>1.024972225</v>
      </c>
      <c r="F8">
        <f>PRODUCT($E$2:E8)</f>
        <v>1.1868946469017616</v>
      </c>
      <c r="G8">
        <v>7</v>
      </c>
      <c r="H8">
        <f t="shared" si="2"/>
        <v>1.175</v>
      </c>
      <c r="I8">
        <f t="shared" si="0"/>
        <v>1.175</v>
      </c>
      <c r="J8">
        <f t="shared" si="3"/>
        <v>1.105</v>
      </c>
      <c r="K8">
        <f t="shared" si="4"/>
        <v>1.157305682560418</v>
      </c>
    </row>
    <row r="9" spans="1:16">
      <c r="A9">
        <v>7</v>
      </c>
      <c r="B9">
        <v>2182</v>
      </c>
      <c r="C9">
        <v>1.8079278000000001E-2</v>
      </c>
      <c r="D9" s="8">
        <v>2.4983565999999999E-2</v>
      </c>
      <c r="E9">
        <f t="shared" si="1"/>
        <v>1.024983566</v>
      </c>
      <c r="F9">
        <f>PRODUCT($E$2:E9)</f>
        <v>1.2165475076476784</v>
      </c>
      <c r="G9">
        <v>8</v>
      </c>
      <c r="H9">
        <f t="shared" si="2"/>
        <v>1.2</v>
      </c>
      <c r="I9">
        <f t="shared" si="0"/>
        <v>1.2</v>
      </c>
      <c r="J9">
        <f t="shared" si="3"/>
        <v>1.1200000000000001</v>
      </c>
      <c r="K9">
        <f t="shared" si="4"/>
        <v>1.179777922926192</v>
      </c>
    </row>
    <row r="10" spans="1:16">
      <c r="A10">
        <v>8</v>
      </c>
      <c r="B10">
        <v>2183</v>
      </c>
      <c r="C10">
        <v>1.8082883000000001E-2</v>
      </c>
      <c r="D10" s="8">
        <v>2.4990277000000002E-2</v>
      </c>
      <c r="E10">
        <f t="shared" si="1"/>
        <v>1.0249902769999999</v>
      </c>
      <c r="F10">
        <f>PRODUCT($E$2:E10)</f>
        <v>1.2469493668474534</v>
      </c>
      <c r="G10">
        <v>9</v>
      </c>
      <c r="H10">
        <f t="shared" si="2"/>
        <v>1.2250000000000001</v>
      </c>
      <c r="I10">
        <f t="shared" si="0"/>
        <v>1.2250000000000001</v>
      </c>
      <c r="J10">
        <f t="shared" si="3"/>
        <v>1.135</v>
      </c>
      <c r="K10">
        <f t="shared" si="4"/>
        <v>1.202250163291966</v>
      </c>
    </row>
    <row r="11" spans="1:16">
      <c r="A11">
        <v>9</v>
      </c>
      <c r="B11">
        <v>2184</v>
      </c>
      <c r="C11">
        <v>1.8085016999999998E-2</v>
      </c>
      <c r="D11" s="8">
        <v>2.4994247000000001E-2</v>
      </c>
      <c r="E11">
        <f t="shared" si="1"/>
        <v>1.024994247</v>
      </c>
      <c r="F11">
        <f>PRODUCT($E$2:E11)</f>
        <v>1.2781159273189322</v>
      </c>
      <c r="G11">
        <v>10</v>
      </c>
      <c r="H11">
        <f t="shared" si="2"/>
        <v>1.25</v>
      </c>
      <c r="I11">
        <f t="shared" si="0"/>
        <v>1.25</v>
      </c>
      <c r="J11">
        <f t="shared" si="3"/>
        <v>1.1499999999999999</v>
      </c>
      <c r="K11">
        <f>H11*(N7/SUM($N$7:$P$7)) + I11*(O7/SUM(N7:P7))+J11*(P7/SUM(N7:P7))</f>
        <v>1.22472240365774</v>
      </c>
    </row>
    <row r="12" spans="1:16">
      <c r="H12">
        <f>0.25/10/2</f>
        <v>1.2500000000000001E-2</v>
      </c>
      <c r="I12">
        <f>0.25/10/2</f>
        <v>1.2500000000000001E-2</v>
      </c>
      <c r="J12">
        <f>0.15/10/2</f>
        <v>7.4999999999999997E-3</v>
      </c>
      <c r="K12">
        <f>(K11-1)/10/2</f>
        <v>1.1236120182886999E-2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Savannah Worth</dc:creator>
  <cp:keywords/>
  <dc:description/>
  <cp:lastModifiedBy>Savannah Worth</cp:lastModifiedBy>
  <cp:revision/>
  <dcterms:created xsi:type="dcterms:W3CDTF">2026-03-23T23:37:31Z</dcterms:created>
  <dcterms:modified xsi:type="dcterms:W3CDTF">2026-03-29T02:13:05Z</dcterms:modified>
  <cp:category/>
  <cp:contentStatus/>
</cp:coreProperties>
</file>