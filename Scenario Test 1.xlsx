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60" documentId="11_E60897F41BE170836B02CE998F75CCDC64E183C8" xr6:coauthVersionLast="47" xr6:coauthVersionMax="47" xr10:uidLastSave="{F2A12075-5359-4BBE-88F1-7A3D769BBA52}"/>
  <bookViews>
    <workbookView xWindow="240" yWindow="105" windowWidth="14805" windowHeight="8010" xr2:uid="{00000000-000D-0000-FFFF-FFFF00000000}"/>
  </bookViews>
  <sheets>
    <sheet name="Calculations" sheetId="1" r:id="rId1"/>
    <sheet name="Interest and Inflation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6" i="1"/>
  <c r="B14" i="1"/>
  <c r="B15" i="1"/>
  <c r="B5" i="1"/>
  <c r="B13" i="1" s="1"/>
  <c r="J12" i="2"/>
  <c r="I12" i="2"/>
  <c r="H12" i="2"/>
  <c r="J11" i="2"/>
  <c r="I11" i="2"/>
  <c r="H11" i="2"/>
  <c r="K11" i="2" s="1"/>
  <c r="K12" i="2" s="1"/>
  <c r="E11" i="2"/>
  <c r="K10" i="2"/>
  <c r="J10" i="2"/>
  <c r="I10" i="2"/>
  <c r="H10" i="2"/>
  <c r="E10" i="2"/>
  <c r="K9" i="2"/>
  <c r="J9" i="2"/>
  <c r="I9" i="2"/>
  <c r="H9" i="2"/>
  <c r="E9" i="2"/>
  <c r="K8" i="2"/>
  <c r="J8" i="2"/>
  <c r="I8" i="2"/>
  <c r="H8" i="2"/>
  <c r="E8" i="2"/>
  <c r="K7" i="2"/>
  <c r="J7" i="2"/>
  <c r="I7" i="2"/>
  <c r="H7" i="2"/>
  <c r="E7" i="2"/>
  <c r="K6" i="2"/>
  <c r="J6" i="2"/>
  <c r="I6" i="2"/>
  <c r="H6" i="2"/>
  <c r="E6" i="2"/>
  <c r="K5" i="2"/>
  <c r="J5" i="2"/>
  <c r="I5" i="2"/>
  <c r="H5" i="2"/>
  <c r="E5" i="2"/>
  <c r="K4" i="2"/>
  <c r="J4" i="2"/>
  <c r="I4" i="2"/>
  <c r="H4" i="2"/>
  <c r="E4" i="2"/>
  <c r="K3" i="2"/>
  <c r="J3" i="2"/>
  <c r="I3" i="2"/>
  <c r="H3" i="2"/>
  <c r="E3" i="2"/>
  <c r="K2" i="2"/>
  <c r="J2" i="2"/>
  <c r="I2" i="2"/>
  <c r="H2" i="2"/>
  <c r="E2" i="2"/>
  <c r="F11" i="2" l="1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<sst xmlns="http://schemas.openxmlformats.org/spreadsheetml/2006/main" count="33" uniqueCount="28">
  <si>
    <t>Loss under scenario 1</t>
  </si>
  <si>
    <t xml:space="preserve">Business interruption </t>
  </si>
  <si>
    <t>2175 dollars</t>
  </si>
  <si>
    <t>Workers Comp</t>
  </si>
  <si>
    <t>Cargo Loss</t>
  </si>
  <si>
    <t>Total</t>
  </si>
  <si>
    <t>Calculations</t>
  </si>
  <si>
    <t>Retained Earnings</t>
  </si>
  <si>
    <t>Premium Revenue (Inflation + Exposure)</t>
  </si>
  <si>
    <t xml:space="preserve">* From 'Aggregate_Profit_Projections' Aggregate Projection Sheet </t>
  </si>
  <si>
    <t>Interest on Premium and Retained Profit</t>
  </si>
  <si>
    <t>Expected Inflated Costs</t>
  </si>
  <si>
    <t xml:space="preserve">Event Inflated Costs </t>
  </si>
  <si>
    <t>Half year profit</t>
  </si>
  <si>
    <t>Interest on Profit</t>
  </si>
  <si>
    <t xml:space="preserve">Profit </t>
  </si>
  <si>
    <t>Profit in usual circumstances</t>
  </si>
  <si>
    <t>Percentage difference</t>
  </si>
  <si>
    <t>Index 1</t>
  </si>
  <si>
    <t>Year</t>
  </si>
  <si>
    <t>Interest</t>
  </si>
  <si>
    <t>Inflation</t>
  </si>
  <si>
    <t>Inflation 2</t>
  </si>
  <si>
    <t>Index 2</t>
  </si>
  <si>
    <t>H Growth</t>
  </si>
  <si>
    <t>B Growth</t>
  </si>
  <si>
    <t>O Growth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</si>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</sst>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[$$-409]* #,##0.00_ ;_-[$$-409]* \-#,##0.00\ ;_-[$$-409]* &quot;-&quot;??_ ;_-@_ "/>
    <numFmt numFmtId="165" formatCode="_([$$-409]* #,##0.00_);_([$$-409]* \(#,##0.00\);_([$$-409]* &quot;-&quot;??_);_(@_)"/>
    <numFmt numFmtId="166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 Light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3" fontId="0" fillId="0" borderId="0" xfId="0" applyNumberFormat="1"/>
    <xf numFmtId="3" fontId="3" fillId="0" borderId="0" xfId="0" applyNumberFormat="1" applyFont="1"/>
    <xf numFmtId="164" fontId="0" fillId="0" borderId="0" xfId="0" applyNumberFormat="1"/>
    <xf numFmtId="165" fontId="0" fillId="0" borderId="0" xfId="0" applyNumberFormat="1"/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43" fontId="4" fillId="0" borderId="0" xfId="1" applyFont="1"/>
    <xf numFmtId="4" fontId="6" fillId="0" borderId="0" xfId="0" applyNumberFormat="1" applyFont="1" applyFill="1" applyBorder="1" applyAlignment="1"/>
    <xf numFmtId="4" fontId="7" fillId="0" borderId="0" xfId="0" applyNumberFormat="1" applyFont="1" applyFill="1" applyBorder="1" applyAlignment="1"/>
    <xf numFmtId="1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%20Projections%20Workers%20Compens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est and Inflation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I21" sqref="I21"/>
    </sheetView>
  </sheetViews>
  <sheetFormatPr defaultRowHeight="15"/>
  <cols>
    <col min="1" max="1" width="26.5703125" customWidth="1"/>
    <col min="2" max="2" width="23.85546875" customWidth="1"/>
    <col min="3" max="3" width="28.28515625" customWidth="1"/>
  </cols>
  <sheetData>
    <row r="1" spans="1:3">
      <c r="A1" s="7" t="s">
        <v>0</v>
      </c>
    </row>
    <row r="2" spans="1:3">
      <c r="A2" t="s">
        <v>1</v>
      </c>
      <c r="B2" s="5">
        <v>18116658</v>
      </c>
      <c r="C2" t="s">
        <v>2</v>
      </c>
    </row>
    <row r="3" spans="1:3">
      <c r="A3" t="s">
        <v>3</v>
      </c>
      <c r="B3" s="5">
        <v>36946000</v>
      </c>
      <c r="C3" t="s">
        <v>2</v>
      </c>
    </row>
    <row r="4" spans="1:3">
      <c r="A4" t="s">
        <v>4</v>
      </c>
      <c r="B4" s="6">
        <v>77438000</v>
      </c>
      <c r="C4" t="s">
        <v>2</v>
      </c>
    </row>
    <row r="5" spans="1:3">
      <c r="A5" t="s">
        <v>5</v>
      </c>
      <c r="B5" s="5">
        <f>SUM(B2:B4)</f>
        <v>132500658</v>
      </c>
      <c r="C5" t="s">
        <v>2</v>
      </c>
    </row>
    <row r="7" spans="1:3">
      <c r="A7" s="7" t="s">
        <v>6</v>
      </c>
    </row>
    <row r="8" spans="1:3">
      <c r="B8">
        <v>0</v>
      </c>
    </row>
    <row r="9" spans="1:3">
      <c r="A9" t="s">
        <v>7</v>
      </c>
      <c r="C9" s="6"/>
    </row>
    <row r="10" spans="1:3">
      <c r="A10" t="s">
        <v>8</v>
      </c>
      <c r="B10" s="11">
        <v>14928860354</v>
      </c>
      <c r="C10" s="6" t="s">
        <v>9</v>
      </c>
    </row>
    <row r="11" spans="1:3">
      <c r="A11" t="s">
        <v>10</v>
      </c>
      <c r="B11" s="11">
        <v>131838759.39</v>
      </c>
      <c r="C11" s="6" t="s">
        <v>9</v>
      </c>
    </row>
    <row r="12" spans="1:3">
      <c r="A12" t="s">
        <v>11</v>
      </c>
      <c r="B12" s="11">
        <v>14914013713.1</v>
      </c>
      <c r="C12" s="6" t="s">
        <v>9</v>
      </c>
    </row>
    <row r="13" spans="1:3">
      <c r="A13" t="s">
        <v>12</v>
      </c>
      <c r="B13" s="11">
        <f>B5*((1+_xlfn.XLOOKUP(B8,'Interest and Inflation'!$A$2:$A$11,'Interest and Inflation'!$D$2:$D$11))^(1/2))*(1+'Interest and Inflation'!$K$12)</f>
        <v>135611130.83587772</v>
      </c>
      <c r="C13" s="6"/>
    </row>
    <row r="14" spans="1:3">
      <c r="A14" t="s">
        <v>13</v>
      </c>
      <c r="B14" s="11">
        <f>SUM(B9:B11)-SUM(B12:B13)</f>
        <v>11074269.454120636</v>
      </c>
      <c r="C14" s="9"/>
    </row>
    <row r="15" spans="1:3">
      <c r="A15" t="s">
        <v>14</v>
      </c>
      <c r="B15" s="12">
        <f>B14*((1+_xlfn.XLOOKUP(B8,'Interest and Inflation'!$A$2:$A$11,'Interest and Inflation'!$C$2:$C$11))^(1/2)-1)</f>
        <v>97798.352409470521</v>
      </c>
      <c r="C15" s="9"/>
    </row>
    <row r="16" spans="1:3">
      <c r="A16" t="s">
        <v>15</v>
      </c>
      <c r="B16" s="8">
        <f>SUM(B14:B15)</f>
        <v>11172067.806530107</v>
      </c>
      <c r="C16" s="9"/>
    </row>
    <row r="18" spans="1:3">
      <c r="A18" t="s">
        <v>16</v>
      </c>
      <c r="B18" s="12">
        <v>147980798.63999999</v>
      </c>
      <c r="C18" s="10"/>
    </row>
    <row r="20" spans="1:3">
      <c r="A20" t="s">
        <v>17</v>
      </c>
      <c r="B20" s="13">
        <f>(B16-B18)/B18</f>
        <v>-0.9245032604959178</v>
      </c>
      <c r="C20" s="9"/>
    </row>
    <row r="22" spans="1:3">
      <c r="C2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9DAC-9E7C-4063-B330-419838B6FA94}">
  <dimension ref="A1:P12"/>
  <sheetViews>
    <sheetView zoomScale="172" workbookViewId="0"/>
  </sheetViews>
  <sheetFormatPr defaultColWidth="8.85546875" defaultRowHeight="15"/>
  <cols>
    <col min="1" max="2" width="9" bestFit="1" customWidth="1"/>
    <col min="3" max="3" width="11.7109375" bestFit="1" customWidth="1"/>
    <col min="4" max="5" width="9" bestFit="1" customWidth="1"/>
    <col min="6" max="6" width="12" bestFit="1" customWidth="1"/>
    <col min="7" max="7" width="9" bestFit="1" customWidth="1"/>
  </cols>
  <sheetData>
    <row r="1" spans="1:16">
      <c r="A1" t="s">
        <v>18</v>
      </c>
      <c r="B1" t="s">
        <v>19</v>
      </c>
      <c r="C1" t="s">
        <v>20</v>
      </c>
      <c r="D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6">
      <c r="A2">
        <v>0</v>
      </c>
      <c r="B2">
        <v>2175</v>
      </c>
      <c r="C2" s="1">
        <v>1.7740255999999999E-2</v>
      </c>
      <c r="D2" s="2">
        <v>2.4352561000000002E-2</v>
      </c>
      <c r="E2">
        <f>1+D2</f>
        <v>1.0243525609999999</v>
      </c>
      <c r="F2">
        <f>PRODUCT(E2)</f>
        <v>1.0243525609999999</v>
      </c>
      <c r="G2">
        <v>1</v>
      </c>
      <c r="H2">
        <f>0.25/10*$G2 + 1</f>
        <v>1.0249999999999999</v>
      </c>
      <c r="I2">
        <f t="shared" ref="I2:I11" si="0">0.25/10*$G2 + 1</f>
        <v>1.0249999999999999</v>
      </c>
      <c r="J2">
        <f>0.15/10*$G2 + 1</f>
        <v>1.0149999999999999</v>
      </c>
      <c r="K2">
        <f>($K$11-1)/10*G2+1</f>
        <v>1.022472240365774</v>
      </c>
      <c r="N2" s="3">
        <v>58</v>
      </c>
      <c r="O2" s="3">
        <v>56</v>
      </c>
      <c r="P2" s="3">
        <v>39</v>
      </c>
    </row>
    <row r="3" spans="1:16">
      <c r="A3">
        <v>1</v>
      </c>
      <c r="B3">
        <v>2176</v>
      </c>
      <c r="C3">
        <v>1.7882294999999999E-2</v>
      </c>
      <c r="D3" s="2">
        <v>2.4616932000000001E-2</v>
      </c>
      <c r="E3">
        <f t="shared" ref="E3:E11" si="1">1+D3</f>
        <v>1.024616932</v>
      </c>
      <c r="F3">
        <f>PRODUCT($E$2:E3)</f>
        <v>1.0495689783381628</v>
      </c>
      <c r="G3">
        <v>2</v>
      </c>
      <c r="H3">
        <f t="shared" ref="H3:H11" si="2">0.25/10*$G3 + 1</f>
        <v>1.05</v>
      </c>
      <c r="I3">
        <f t="shared" si="0"/>
        <v>1.05</v>
      </c>
      <c r="J3">
        <f t="shared" ref="J3:J11" si="3">0.15/10*$G3 + 1</f>
        <v>1.03</v>
      </c>
      <c r="K3">
        <f t="shared" ref="K3:K10" si="4">($K$11-1)/10*G3+1</f>
        <v>1.044944480731548</v>
      </c>
      <c r="N3" s="3">
        <v>116</v>
      </c>
      <c r="O3" s="3">
        <v>113</v>
      </c>
      <c r="P3" s="3">
        <v>77</v>
      </c>
    </row>
    <row r="4" spans="1:16">
      <c r="A4">
        <v>2</v>
      </c>
      <c r="B4">
        <v>2177</v>
      </c>
      <c r="C4">
        <v>1.7966335E-2</v>
      </c>
      <c r="D4" s="2">
        <v>2.4773351999999998E-2</v>
      </c>
      <c r="E4">
        <f t="shared" si="1"/>
        <v>1.024773352</v>
      </c>
      <c r="F4">
        <f>PRODUCT($E$2:E4)</f>
        <v>1.0755703200868143</v>
      </c>
      <c r="G4">
        <v>3</v>
      </c>
      <c r="H4">
        <f t="shared" si="2"/>
        <v>1.075</v>
      </c>
      <c r="I4">
        <f t="shared" si="0"/>
        <v>1.075</v>
      </c>
      <c r="J4">
        <f t="shared" si="3"/>
        <v>1.0449999999999999</v>
      </c>
      <c r="K4">
        <f t="shared" si="4"/>
        <v>1.067416721097322</v>
      </c>
      <c r="N4" s="3">
        <v>580</v>
      </c>
      <c r="O4" s="3">
        <v>564</v>
      </c>
      <c r="P4" s="3">
        <v>387</v>
      </c>
    </row>
    <row r="5" spans="1:16">
      <c r="A5">
        <v>3</v>
      </c>
      <c r="B5">
        <v>2178</v>
      </c>
      <c r="C5">
        <v>1.8016059000000001E-2</v>
      </c>
      <c r="D5" s="2">
        <v>2.48659E-2</v>
      </c>
      <c r="E5">
        <f t="shared" si="1"/>
        <v>1.0248659</v>
      </c>
      <c r="F5">
        <f>PRODUCT($E$2:E5)</f>
        <v>1.102315344109061</v>
      </c>
      <c r="G5">
        <v>4</v>
      </c>
      <c r="H5">
        <f t="shared" si="2"/>
        <v>1.1000000000000001</v>
      </c>
      <c r="I5">
        <f t="shared" si="0"/>
        <v>1.1000000000000001</v>
      </c>
      <c r="J5">
        <f t="shared" si="3"/>
        <v>1.06</v>
      </c>
      <c r="K5">
        <f t="shared" si="4"/>
        <v>1.089888961463096</v>
      </c>
      <c r="N5" s="3">
        <v>232</v>
      </c>
      <c r="O5" s="3">
        <v>226</v>
      </c>
      <c r="P5" s="3">
        <v>155</v>
      </c>
    </row>
    <row r="6" spans="1:16">
      <c r="A6">
        <v>4</v>
      </c>
      <c r="B6">
        <v>2179</v>
      </c>
      <c r="C6">
        <v>1.8045479E-2</v>
      </c>
      <c r="D6" s="2">
        <v>2.4920657999999998E-2</v>
      </c>
      <c r="E6">
        <f t="shared" si="1"/>
        <v>1.0249206580000001</v>
      </c>
      <c r="F6">
        <f>PRODUCT($E$2:E6)</f>
        <v>1.1297857678077552</v>
      </c>
      <c r="G6">
        <v>5</v>
      </c>
      <c r="H6">
        <f t="shared" si="2"/>
        <v>1.125</v>
      </c>
      <c r="I6">
        <f t="shared" si="0"/>
        <v>1.125</v>
      </c>
      <c r="J6">
        <f t="shared" si="3"/>
        <v>1.075</v>
      </c>
      <c r="K6">
        <f t="shared" si="4"/>
        <v>1.11236120182887</v>
      </c>
      <c r="N6" s="4">
        <v>174</v>
      </c>
      <c r="O6" s="4">
        <v>169</v>
      </c>
      <c r="P6" s="4">
        <v>116</v>
      </c>
    </row>
    <row r="7" spans="1:16">
      <c r="A7">
        <v>5</v>
      </c>
      <c r="B7">
        <v>2180</v>
      </c>
      <c r="C7">
        <v>1.8062886E-2</v>
      </c>
      <c r="D7" s="2">
        <v>2.4953056000000001E-2</v>
      </c>
      <c r="E7">
        <f t="shared" si="1"/>
        <v>1.024953056</v>
      </c>
      <c r="F7">
        <f>PRODUCT($E$2:E7)</f>
        <v>1.157977375339865</v>
      </c>
      <c r="G7">
        <v>6</v>
      </c>
      <c r="H7">
        <f t="shared" si="2"/>
        <v>1.1499999999999999</v>
      </c>
      <c r="I7">
        <f t="shared" si="0"/>
        <v>1.1499999999999999</v>
      </c>
      <c r="J7">
        <f t="shared" si="3"/>
        <v>1.0900000000000001</v>
      </c>
      <c r="K7">
        <f t="shared" si="4"/>
        <v>1.134833442194644</v>
      </c>
      <c r="N7" s="3">
        <v>1160</v>
      </c>
      <c r="O7" s="3">
        <v>1128</v>
      </c>
      <c r="P7" s="3">
        <v>774</v>
      </c>
    </row>
    <row r="8" spans="1:16">
      <c r="A8">
        <v>6</v>
      </c>
      <c r="B8">
        <v>2181</v>
      </c>
      <c r="C8">
        <v>1.8073184999999999E-2</v>
      </c>
      <c r="D8" s="2">
        <v>2.4972225000000001E-2</v>
      </c>
      <c r="E8">
        <f t="shared" si="1"/>
        <v>1.024972225</v>
      </c>
      <c r="F8">
        <f>PRODUCT($E$2:E8)</f>
        <v>1.1868946469017616</v>
      </c>
      <c r="G8">
        <v>7</v>
      </c>
      <c r="H8">
        <f t="shared" si="2"/>
        <v>1.175</v>
      </c>
      <c r="I8">
        <f t="shared" si="0"/>
        <v>1.175</v>
      </c>
      <c r="J8">
        <f t="shared" si="3"/>
        <v>1.105</v>
      </c>
      <c r="K8">
        <f t="shared" si="4"/>
        <v>1.157305682560418</v>
      </c>
    </row>
    <row r="9" spans="1:16">
      <c r="A9">
        <v>7</v>
      </c>
      <c r="B9">
        <v>2182</v>
      </c>
      <c r="C9">
        <v>1.8079278000000001E-2</v>
      </c>
      <c r="D9" s="2">
        <v>2.4983565999999999E-2</v>
      </c>
      <c r="E9">
        <f t="shared" si="1"/>
        <v>1.024983566</v>
      </c>
      <c r="F9">
        <f>PRODUCT($E$2:E9)</f>
        <v>1.2165475076476784</v>
      </c>
      <c r="G9">
        <v>8</v>
      </c>
      <c r="H9">
        <f t="shared" si="2"/>
        <v>1.2</v>
      </c>
      <c r="I9">
        <f t="shared" si="0"/>
        <v>1.2</v>
      </c>
      <c r="J9">
        <f t="shared" si="3"/>
        <v>1.1200000000000001</v>
      </c>
      <c r="K9">
        <f t="shared" si="4"/>
        <v>1.179777922926192</v>
      </c>
    </row>
    <row r="10" spans="1:16">
      <c r="A10">
        <v>8</v>
      </c>
      <c r="B10">
        <v>2183</v>
      </c>
      <c r="C10">
        <v>1.8082883000000001E-2</v>
      </c>
      <c r="D10" s="2">
        <v>2.4990277000000002E-2</v>
      </c>
      <c r="E10">
        <f t="shared" si="1"/>
        <v>1.0249902769999999</v>
      </c>
      <c r="F10">
        <f>PRODUCT($E$2:E10)</f>
        <v>1.2469493668474534</v>
      </c>
      <c r="G10">
        <v>9</v>
      </c>
      <c r="H10">
        <f t="shared" si="2"/>
        <v>1.2250000000000001</v>
      </c>
      <c r="I10">
        <f t="shared" si="0"/>
        <v>1.2250000000000001</v>
      </c>
      <c r="J10">
        <f t="shared" si="3"/>
        <v>1.135</v>
      </c>
      <c r="K10">
        <f t="shared" si="4"/>
        <v>1.202250163291966</v>
      </c>
    </row>
    <row r="11" spans="1:16">
      <c r="A11">
        <v>9</v>
      </c>
      <c r="B11">
        <v>2184</v>
      </c>
      <c r="C11">
        <v>1.8085016999999998E-2</v>
      </c>
      <c r="D11" s="2">
        <v>2.4994247000000001E-2</v>
      </c>
      <c r="E11">
        <f t="shared" si="1"/>
        <v>1.024994247</v>
      </c>
      <c r="F11">
        <f>PRODUCT($E$2:E11)</f>
        <v>1.2781159273189322</v>
      </c>
      <c r="G11">
        <v>10</v>
      </c>
      <c r="H11">
        <f t="shared" si="2"/>
        <v>1.25</v>
      </c>
      <c r="I11">
        <f t="shared" si="0"/>
        <v>1.25</v>
      </c>
      <c r="J11">
        <f t="shared" si="3"/>
        <v>1.1499999999999999</v>
      </c>
      <c r="K11">
        <f>H11*(N7/SUM($N$7:$P$7)) + I11*(O7/SUM(N7:P7))+J11*(P7/SUM(N7:P7))</f>
        <v>1.22472240365774</v>
      </c>
    </row>
    <row r="12" spans="1:16">
      <c r="H12">
        <f>0.25/10/2</f>
        <v>1.2500000000000001E-2</v>
      </c>
      <c r="I12">
        <f>0.25/10/2</f>
        <v>1.2500000000000001E-2</v>
      </c>
      <c r="J12">
        <f>0.15/10/2</f>
        <v>7.4999999999999997E-3</v>
      </c>
      <c r="K12">
        <f>(K11-1)/10/2</f>
        <v>1.1236120182886999E-2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Sophie Vonwiller</cp:lastModifiedBy>
  <cp:revision/>
  <dcterms:created xsi:type="dcterms:W3CDTF">2026-04-10T01:04:44Z</dcterms:created>
  <dcterms:modified xsi:type="dcterms:W3CDTF">2026-04-10T01:16:53Z</dcterms:modified>
  <cp:category/>
  <cp:contentStatus/>
</cp:coreProperties>
</file>