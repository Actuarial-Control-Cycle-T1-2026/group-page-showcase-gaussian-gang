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481673_ad_unsw_edu_au/Documents/ACTL4001 Assignment/"/>
    </mc:Choice>
  </mc:AlternateContent>
  <xr:revisionPtr revIDLastSave="537" documentId="11_E60897F41BE170836B02CE998F75CCDC64E183C8" xr6:coauthVersionLast="47" xr6:coauthVersionMax="47" xr10:uidLastSave="{716F6943-97EE-4060-B724-50009DED3B7F}"/>
  <bookViews>
    <workbookView xWindow="-105" yWindow="-16320" windowWidth="29040" windowHeight="15720" firstSheet="6" xr2:uid="{00000000-000D-0000-FFFF-FFFF00000000}"/>
  </bookViews>
  <sheets>
    <sheet name="Summary" sheetId="11" r:id="rId1"/>
    <sheet name="Aggregate Projection" sheetId="1" r:id="rId2"/>
    <sheet name="Business Interruption" sheetId="13" r:id="rId3"/>
    <sheet name="Equipment Failure" sheetId="14" r:id="rId4"/>
    <sheet name="Interest, etc. BI and EF" sheetId="15" r:id="rId5"/>
    <sheet name="Workers Compensation" sheetId="16" r:id="rId6"/>
    <sheet name="Summary WC" sheetId="18" r:id="rId7"/>
    <sheet name="Cargo Loss" sheetId="19" r:id="rId8"/>
    <sheet name="Summary CL" sheetId="20" r:id="rId9"/>
    <sheet name="Interest and Inflation CL" sheetId="21" r:id="rId10"/>
    <sheet name="Interest and Inflation WC" sheetId="1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1" l="1"/>
  <c r="I4" i="11"/>
  <c r="I3" i="11"/>
  <c r="H5" i="11"/>
  <c r="H4" i="11"/>
  <c r="H3" i="11"/>
  <c r="G5" i="11"/>
  <c r="G4" i="11"/>
  <c r="G3" i="11"/>
  <c r="L15" i="19"/>
  <c r="K15" i="19"/>
  <c r="J15" i="19"/>
  <c r="I15" i="19"/>
  <c r="H15" i="19"/>
  <c r="G15" i="19"/>
  <c r="F15" i="19"/>
  <c r="E15" i="19"/>
  <c r="D15" i="19"/>
  <c r="B27" i="11"/>
  <c r="E15" i="16"/>
  <c r="F15" i="16"/>
  <c r="G15" i="16"/>
  <c r="H15" i="16"/>
  <c r="I15" i="16"/>
  <c r="J15" i="16"/>
  <c r="K15" i="16"/>
  <c r="L15" i="16"/>
  <c r="D15" i="16"/>
  <c r="B9" i="11"/>
  <c r="B10" i="11"/>
  <c r="B11" i="11"/>
  <c r="B15" i="11"/>
  <c r="B16" i="11"/>
  <c r="B17" i="11"/>
  <c r="B21" i="11"/>
  <c r="B22" i="11"/>
  <c r="B23" i="11"/>
  <c r="C9" i="11"/>
  <c r="C10" i="11"/>
  <c r="C11" i="11"/>
  <c r="C15" i="11"/>
  <c r="C16" i="11"/>
  <c r="C17" i="11"/>
  <c r="C21" i="11"/>
  <c r="C23" i="11"/>
  <c r="D9" i="11"/>
  <c r="D10" i="11"/>
  <c r="D11" i="11"/>
  <c r="D15" i="11"/>
  <c r="D16" i="11"/>
  <c r="D17" i="11"/>
  <c r="D21" i="11"/>
  <c r="D23" i="11"/>
  <c r="C25" i="14"/>
  <c r="C16" i="14"/>
  <c r="C6" i="14"/>
  <c r="C6" i="13"/>
  <c r="C25" i="13"/>
  <c r="C16" i="13"/>
  <c r="AA3" i="1"/>
  <c r="O3" i="1"/>
  <c r="C6" i="1"/>
  <c r="C3" i="1"/>
  <c r="L24" i="19"/>
  <c r="K24" i="19"/>
  <c r="J24" i="19"/>
  <c r="I24" i="19"/>
  <c r="H24" i="19"/>
  <c r="G24" i="19"/>
  <c r="F24" i="19"/>
  <c r="E24" i="19"/>
  <c r="D24" i="19"/>
  <c r="C24" i="19"/>
  <c r="O6" i="1" s="1"/>
  <c r="C22" i="19"/>
  <c r="O4" i="1" s="1"/>
  <c r="C15" i="19"/>
  <c r="C13" i="19"/>
  <c r="L6" i="19"/>
  <c r="K6" i="19"/>
  <c r="J6" i="19"/>
  <c r="I6" i="19"/>
  <c r="H6" i="19"/>
  <c r="G6" i="19"/>
  <c r="F6" i="19"/>
  <c r="E6" i="19"/>
  <c r="D6" i="19"/>
  <c r="C6" i="19"/>
  <c r="AA6" i="1" s="1"/>
  <c r="C4" i="19"/>
  <c r="AA4" i="1" s="1"/>
  <c r="C23" i="19"/>
  <c r="L22" i="19"/>
  <c r="K22" i="19"/>
  <c r="J22" i="19"/>
  <c r="I22" i="19"/>
  <c r="H22" i="19"/>
  <c r="G22" i="19"/>
  <c r="F22" i="19"/>
  <c r="E22" i="19"/>
  <c r="D22" i="19"/>
  <c r="C14" i="19"/>
  <c r="K13" i="19"/>
  <c r="I13" i="19"/>
  <c r="E13" i="19"/>
  <c r="C5" i="19"/>
  <c r="L4" i="19"/>
  <c r="K4" i="19"/>
  <c r="J4" i="19"/>
  <c r="I4" i="19"/>
  <c r="H4" i="19"/>
  <c r="G4" i="19"/>
  <c r="F4" i="19"/>
  <c r="E4" i="19"/>
  <c r="D4" i="19"/>
  <c r="J12" i="21"/>
  <c r="I12" i="21"/>
  <c r="H12" i="21"/>
  <c r="J11" i="21"/>
  <c r="I11" i="21"/>
  <c r="H11" i="21"/>
  <c r="K11" i="21" s="1"/>
  <c r="E11" i="21"/>
  <c r="J10" i="21"/>
  <c r="I10" i="21"/>
  <c r="H10" i="21"/>
  <c r="E10" i="21"/>
  <c r="J9" i="21"/>
  <c r="I9" i="21"/>
  <c r="H9" i="21"/>
  <c r="E9" i="21"/>
  <c r="J8" i="21"/>
  <c r="I8" i="21"/>
  <c r="H8" i="21"/>
  <c r="E8" i="21"/>
  <c r="J7" i="21"/>
  <c r="I7" i="21"/>
  <c r="H7" i="21"/>
  <c r="E7" i="21"/>
  <c r="J6" i="21"/>
  <c r="I6" i="21"/>
  <c r="H6" i="21"/>
  <c r="E6" i="21"/>
  <c r="J5" i="21"/>
  <c r="I5" i="21"/>
  <c r="H5" i="21"/>
  <c r="E5" i="21"/>
  <c r="J4" i="21"/>
  <c r="I4" i="21"/>
  <c r="H4" i="21"/>
  <c r="E4" i="21"/>
  <c r="J3" i="21"/>
  <c r="I3" i="21"/>
  <c r="H3" i="21"/>
  <c r="E3" i="21"/>
  <c r="J2" i="21"/>
  <c r="I2" i="21"/>
  <c r="H2" i="21"/>
  <c r="E2" i="21"/>
  <c r="F11" i="21" s="1"/>
  <c r="H5" i="18"/>
  <c r="H4" i="18"/>
  <c r="H3" i="18"/>
  <c r="E5" i="18"/>
  <c r="E3" i="18"/>
  <c r="B5" i="18"/>
  <c r="B3" i="18"/>
  <c r="L24" i="16"/>
  <c r="K24" i="16"/>
  <c r="J24" i="16"/>
  <c r="I24" i="16"/>
  <c r="H24" i="16"/>
  <c r="G24" i="16"/>
  <c r="F24" i="16"/>
  <c r="E24" i="16"/>
  <c r="D24" i="16"/>
  <c r="C24" i="16"/>
  <c r="C23" i="16"/>
  <c r="L22" i="16"/>
  <c r="K22" i="16"/>
  <c r="J22" i="16"/>
  <c r="I22" i="16"/>
  <c r="H22" i="16"/>
  <c r="G22" i="16"/>
  <c r="F22" i="16"/>
  <c r="E22" i="16"/>
  <c r="D22" i="16"/>
  <c r="C15" i="16"/>
  <c r="C14" i="16"/>
  <c r="L13" i="16"/>
  <c r="K13" i="16"/>
  <c r="J13" i="16"/>
  <c r="I13" i="16"/>
  <c r="H13" i="16"/>
  <c r="G13" i="16"/>
  <c r="F13" i="16"/>
  <c r="E13" i="16"/>
  <c r="D13" i="16"/>
  <c r="L6" i="16"/>
  <c r="K6" i="16"/>
  <c r="J6" i="16"/>
  <c r="I6" i="16"/>
  <c r="H6" i="16"/>
  <c r="G6" i="16"/>
  <c r="F6" i="16"/>
  <c r="E6" i="16"/>
  <c r="D6" i="16"/>
  <c r="C6" i="16"/>
  <c r="C5" i="16"/>
  <c r="L4" i="16"/>
  <c r="K4" i="16"/>
  <c r="J4" i="16"/>
  <c r="I4" i="16"/>
  <c r="H4" i="16"/>
  <c r="G4" i="16"/>
  <c r="F4" i="16"/>
  <c r="E4" i="16"/>
  <c r="D4" i="16"/>
  <c r="C22" i="16"/>
  <c r="C13" i="16"/>
  <c r="C4" i="16"/>
  <c r="J12" i="17"/>
  <c r="I12" i="17"/>
  <c r="H12" i="17"/>
  <c r="J11" i="17"/>
  <c r="I11" i="17"/>
  <c r="H11" i="17"/>
  <c r="K11" i="17" s="1"/>
  <c r="E11" i="17"/>
  <c r="J10" i="17"/>
  <c r="I10" i="17"/>
  <c r="H10" i="17"/>
  <c r="E10" i="17"/>
  <c r="J9" i="17"/>
  <c r="I9" i="17"/>
  <c r="H9" i="17"/>
  <c r="E9" i="17"/>
  <c r="J8" i="17"/>
  <c r="I8" i="17"/>
  <c r="H8" i="17"/>
  <c r="E8" i="17"/>
  <c r="J7" i="17"/>
  <c r="I7" i="17"/>
  <c r="H7" i="17"/>
  <c r="F7" i="17"/>
  <c r="E7" i="17"/>
  <c r="J6" i="17"/>
  <c r="I6" i="17"/>
  <c r="H6" i="17"/>
  <c r="F6" i="17"/>
  <c r="E6" i="17"/>
  <c r="J5" i="17"/>
  <c r="I5" i="17"/>
  <c r="H5" i="17"/>
  <c r="E5" i="17"/>
  <c r="J4" i="17"/>
  <c r="I4" i="17"/>
  <c r="H4" i="17"/>
  <c r="F4" i="17"/>
  <c r="E4" i="17"/>
  <c r="J3" i="17"/>
  <c r="I3" i="17"/>
  <c r="H3" i="17"/>
  <c r="F3" i="17"/>
  <c r="E3" i="17"/>
  <c r="J2" i="17"/>
  <c r="I2" i="17"/>
  <c r="H2" i="17"/>
  <c r="F2" i="17"/>
  <c r="E2" i="17"/>
  <c r="F11" i="17" s="1"/>
  <c r="J25" i="13"/>
  <c r="I25" i="13"/>
  <c r="H25" i="13"/>
  <c r="G25" i="13"/>
  <c r="F25" i="13"/>
  <c r="C24" i="13"/>
  <c r="L23" i="13"/>
  <c r="K23" i="13"/>
  <c r="J23" i="13"/>
  <c r="I23" i="13"/>
  <c r="H23" i="13"/>
  <c r="G23" i="13"/>
  <c r="F23" i="13"/>
  <c r="E23" i="13"/>
  <c r="D23" i="13"/>
  <c r="J16" i="13"/>
  <c r="I16" i="13"/>
  <c r="H16" i="13"/>
  <c r="G16" i="13"/>
  <c r="F16" i="13"/>
  <c r="E16" i="13"/>
  <c r="L16" i="13"/>
  <c r="C15" i="13"/>
  <c r="L14" i="13"/>
  <c r="K14" i="13"/>
  <c r="J14" i="13"/>
  <c r="I14" i="13"/>
  <c r="H14" i="13"/>
  <c r="G14" i="13"/>
  <c r="F14" i="13"/>
  <c r="E14" i="13"/>
  <c r="D14" i="13"/>
  <c r="L6" i="13"/>
  <c r="I6" i="13"/>
  <c r="H6" i="13"/>
  <c r="G6" i="13"/>
  <c r="F6" i="13"/>
  <c r="E6" i="13"/>
  <c r="D6" i="13"/>
  <c r="K6" i="13"/>
  <c r="C5" i="13"/>
  <c r="L4" i="13"/>
  <c r="K4" i="13"/>
  <c r="J4" i="13"/>
  <c r="I4" i="13"/>
  <c r="H4" i="13"/>
  <c r="G4" i="13"/>
  <c r="F4" i="13"/>
  <c r="E4" i="13"/>
  <c r="D4" i="13"/>
  <c r="J25" i="14"/>
  <c r="G25" i="14"/>
  <c r="E25" i="14"/>
  <c r="F25" i="14"/>
  <c r="C24" i="14"/>
  <c r="L23" i="14"/>
  <c r="K23" i="14"/>
  <c r="J23" i="14"/>
  <c r="I23" i="14"/>
  <c r="H23" i="14"/>
  <c r="G23" i="14"/>
  <c r="F23" i="14"/>
  <c r="E23" i="14"/>
  <c r="D23" i="14"/>
  <c r="L16" i="14"/>
  <c r="J16" i="14"/>
  <c r="I16" i="14"/>
  <c r="H16" i="14"/>
  <c r="G16" i="14"/>
  <c r="F16" i="14"/>
  <c r="D16" i="14"/>
  <c r="E16" i="14"/>
  <c r="C15" i="14"/>
  <c r="L14" i="14"/>
  <c r="K14" i="14"/>
  <c r="J14" i="14"/>
  <c r="I14" i="14"/>
  <c r="H14" i="14"/>
  <c r="G14" i="14"/>
  <c r="F14" i="14"/>
  <c r="E14" i="14"/>
  <c r="D14" i="14"/>
  <c r="H6" i="14"/>
  <c r="L6" i="14"/>
  <c r="C5" i="14"/>
  <c r="C7" i="14" s="1"/>
  <c r="C8" i="14" s="1"/>
  <c r="L4" i="14"/>
  <c r="K4" i="14"/>
  <c r="J4" i="14"/>
  <c r="I4" i="14"/>
  <c r="H4" i="14"/>
  <c r="G4" i="14"/>
  <c r="F4" i="14"/>
  <c r="E4" i="14"/>
  <c r="D4" i="14"/>
  <c r="J28" i="15"/>
  <c r="J29" i="15" s="1"/>
  <c r="J21" i="15"/>
  <c r="J22" i="15" s="1"/>
  <c r="K11" i="15" a="1"/>
  <c r="K11" i="15" s="1"/>
  <c r="J11" i="15" a="1"/>
  <c r="J11" i="15" s="1"/>
  <c r="H11" i="15" a="1"/>
  <c r="H11" i="15" s="1"/>
  <c r="G11" i="15" a="1"/>
  <c r="G11" i="15" s="1"/>
  <c r="K10" i="15" a="1"/>
  <c r="K10" i="15" s="1"/>
  <c r="J10" i="15" a="1"/>
  <c r="J10" i="15" s="1"/>
  <c r="H10" i="15" a="1"/>
  <c r="H10" i="15" s="1"/>
  <c r="G10" i="15" a="1"/>
  <c r="G10" i="15" s="1"/>
  <c r="K9" i="15" a="1"/>
  <c r="K9" i="15" s="1"/>
  <c r="J9" i="15" a="1"/>
  <c r="J9" i="15" s="1"/>
  <c r="H9" i="15" a="1"/>
  <c r="H9" i="15" s="1"/>
  <c r="G9" i="15" a="1"/>
  <c r="G9" i="15" s="1"/>
  <c r="K8" i="15" a="1"/>
  <c r="K8" i="15" s="1"/>
  <c r="J8" i="15" a="1"/>
  <c r="J8" i="15" s="1"/>
  <c r="H8" i="15" a="1"/>
  <c r="H8" i="15" s="1"/>
  <c r="G8" i="15" a="1"/>
  <c r="G8" i="15" s="1"/>
  <c r="K7" i="15" a="1"/>
  <c r="K7" i="15" s="1"/>
  <c r="J7" i="15" a="1"/>
  <c r="J7" i="15" s="1"/>
  <c r="H7" i="15" a="1"/>
  <c r="H7" i="15" s="1"/>
  <c r="G7" i="15" a="1"/>
  <c r="G7" i="15" s="1"/>
  <c r="K6" i="15" a="1"/>
  <c r="K6" i="15" s="1"/>
  <c r="J6" i="15" a="1"/>
  <c r="J6" i="15" s="1"/>
  <c r="H6" i="15" a="1"/>
  <c r="H6" i="15" s="1"/>
  <c r="G6" i="15" a="1"/>
  <c r="G6" i="15" s="1"/>
  <c r="K5" i="15" a="1"/>
  <c r="K5" i="15" s="1"/>
  <c r="J5" i="15" a="1"/>
  <c r="J5" i="15" s="1"/>
  <c r="H5" i="15" a="1"/>
  <c r="H5" i="15" s="1"/>
  <c r="G5" i="15" a="1"/>
  <c r="G5" i="15" s="1"/>
  <c r="K4" i="15" a="1"/>
  <c r="K4" i="15" s="1"/>
  <c r="J4" i="15" a="1"/>
  <c r="J4" i="15" s="1"/>
  <c r="H4" i="15" a="1"/>
  <c r="H4" i="15" s="1"/>
  <c r="G4" i="15" a="1"/>
  <c r="G4" i="15" s="1"/>
  <c r="K3" i="15" a="1"/>
  <c r="K3" i="15" s="1"/>
  <c r="J3" i="15" a="1"/>
  <c r="J3" i="15" s="1"/>
  <c r="H3" i="15" a="1"/>
  <c r="H3" i="15" s="1"/>
  <c r="G3" i="15" a="1"/>
  <c r="G3" i="15" s="1"/>
  <c r="L2" i="15"/>
  <c r="K2" i="15"/>
  <c r="J2" i="15"/>
  <c r="C26" i="14"/>
  <c r="C27" i="14" s="1"/>
  <c r="C17" i="14"/>
  <c r="C18" i="14" s="1"/>
  <c r="C17" i="13"/>
  <c r="C7" i="13"/>
  <c r="H13" i="19" l="1"/>
  <c r="C4" i="1"/>
  <c r="R6" i="1"/>
  <c r="S6" i="1"/>
  <c r="V6" i="1"/>
  <c r="AJ6" i="1"/>
  <c r="AC6" i="1"/>
  <c r="AD6" i="1"/>
  <c r="AE6" i="1"/>
  <c r="AF6" i="1"/>
  <c r="AG6" i="1"/>
  <c r="AH6" i="1"/>
  <c r="H6" i="1"/>
  <c r="L6" i="1"/>
  <c r="P4" i="1"/>
  <c r="Q4" i="1"/>
  <c r="R4" i="1"/>
  <c r="S4" i="1"/>
  <c r="T4" i="1"/>
  <c r="U4" i="1"/>
  <c r="V4" i="1"/>
  <c r="W4" i="1"/>
  <c r="X4" i="1"/>
  <c r="AB4" i="1"/>
  <c r="AC4" i="1"/>
  <c r="AD4" i="1"/>
  <c r="AE4" i="1"/>
  <c r="AF4" i="1"/>
  <c r="AG4" i="1"/>
  <c r="AH4" i="1"/>
  <c r="AI4" i="1"/>
  <c r="AJ4" i="1"/>
  <c r="AA5" i="1"/>
  <c r="E4" i="1"/>
  <c r="H4" i="1"/>
  <c r="I4" i="1"/>
  <c r="K4" i="1"/>
  <c r="C5" i="1"/>
  <c r="C26" i="13"/>
  <c r="O5" i="1"/>
  <c r="C18" i="13"/>
  <c r="C8" i="13"/>
  <c r="J13" i="19"/>
  <c r="J4" i="1" s="1"/>
  <c r="D13" i="19"/>
  <c r="D4" i="1" s="1"/>
  <c r="L13" i="19"/>
  <c r="L4" i="1" s="1"/>
  <c r="F13" i="19"/>
  <c r="F4" i="1" s="1"/>
  <c r="G13" i="19"/>
  <c r="G4" i="1" s="1"/>
  <c r="C25" i="19"/>
  <c r="C26" i="19" s="1"/>
  <c r="C27" i="19" s="1"/>
  <c r="K12" i="21"/>
  <c r="K9" i="21"/>
  <c r="K5" i="21"/>
  <c r="K10" i="21"/>
  <c r="K2" i="21"/>
  <c r="K6" i="21"/>
  <c r="K7" i="21"/>
  <c r="K3" i="21"/>
  <c r="K8" i="21"/>
  <c r="K4" i="21"/>
  <c r="F9" i="21"/>
  <c r="F2" i="21"/>
  <c r="F5" i="21"/>
  <c r="F6" i="21"/>
  <c r="F10" i="21"/>
  <c r="F4" i="21"/>
  <c r="F8" i="21"/>
  <c r="F3" i="21"/>
  <c r="F7" i="21"/>
  <c r="C7" i="19"/>
  <c r="C16" i="19"/>
  <c r="C7" i="16"/>
  <c r="K12" i="17"/>
  <c r="K10" i="17"/>
  <c r="K6" i="17"/>
  <c r="K2" i="17"/>
  <c r="K7" i="17"/>
  <c r="K8" i="17"/>
  <c r="K4" i="17"/>
  <c r="K9" i="17"/>
  <c r="K5" i="17"/>
  <c r="K3" i="17"/>
  <c r="F10" i="17"/>
  <c r="F9" i="17"/>
  <c r="F5" i="17"/>
  <c r="F8" i="17"/>
  <c r="C16" i="16"/>
  <c r="C17" i="16" s="1"/>
  <c r="C25" i="16"/>
  <c r="C26" i="16" s="1"/>
  <c r="K25" i="13"/>
  <c r="J6" i="13"/>
  <c r="K16" i="13"/>
  <c r="D25" i="13"/>
  <c r="L25" i="13"/>
  <c r="D16" i="13"/>
  <c r="AB6" i="1" s="1"/>
  <c r="E25" i="13"/>
  <c r="Q6" i="1" s="1"/>
  <c r="F6" i="14"/>
  <c r="F6" i="1" s="1"/>
  <c r="H25" i="14"/>
  <c r="T6" i="1" s="1"/>
  <c r="E6" i="14"/>
  <c r="E6" i="1" s="1"/>
  <c r="G6" i="14"/>
  <c r="G6" i="1" s="1"/>
  <c r="I25" i="14"/>
  <c r="U6" i="1" s="1"/>
  <c r="I6" i="14"/>
  <c r="I6" i="1" s="1"/>
  <c r="K25" i="14"/>
  <c r="J6" i="14"/>
  <c r="K16" i="14"/>
  <c r="D25" i="14"/>
  <c r="L25" i="14"/>
  <c r="K6" i="14"/>
  <c r="K6" i="1" s="1"/>
  <c r="D6" i="14"/>
  <c r="D6" i="1" s="1"/>
  <c r="J30" i="15"/>
  <c r="I10" i="15" a="1"/>
  <c r="I10" i="15" s="1"/>
  <c r="I8" i="15" a="1"/>
  <c r="I8" i="15" s="1"/>
  <c r="I6" i="15" a="1"/>
  <c r="I6" i="15" s="1"/>
  <c r="I4" i="15" a="1"/>
  <c r="I4" i="15" s="1"/>
  <c r="L10" i="15" a="1"/>
  <c r="L10" i="15" s="1"/>
  <c r="L8" i="15" a="1"/>
  <c r="L8" i="15" s="1"/>
  <c r="L6" i="15" a="1"/>
  <c r="L6" i="15" s="1"/>
  <c r="L4" i="15" a="1"/>
  <c r="L4" i="15" s="1"/>
  <c r="I9" i="15" a="1"/>
  <c r="I9" i="15" s="1"/>
  <c r="I3" i="15" a="1"/>
  <c r="I3" i="15" s="1"/>
  <c r="I11" i="15" a="1"/>
  <c r="I11" i="15" s="1"/>
  <c r="L9" i="15" a="1"/>
  <c r="L9" i="15" s="1"/>
  <c r="L7" i="15" a="1"/>
  <c r="L7" i="15" s="1"/>
  <c r="L5" i="15" a="1"/>
  <c r="L5" i="15" s="1"/>
  <c r="L3" i="15" a="1"/>
  <c r="L3" i="15" s="1"/>
  <c r="I7" i="15" a="1"/>
  <c r="I7" i="15" s="1"/>
  <c r="I5" i="15" a="1"/>
  <c r="I5" i="15" s="1"/>
  <c r="L11" i="15" a="1"/>
  <c r="L11" i="15" s="1"/>
  <c r="C9" i="14"/>
  <c r="C28" i="14"/>
  <c r="C19" i="14"/>
  <c r="C9" i="13"/>
  <c r="C19" i="13"/>
  <c r="C17" i="19" l="1"/>
  <c r="C7" i="1"/>
  <c r="C8" i="19"/>
  <c r="AA7" i="1"/>
  <c r="D21" i="19"/>
  <c r="D23" i="19" s="1"/>
  <c r="C8" i="1"/>
  <c r="AA8" i="1"/>
  <c r="X6" i="1"/>
  <c r="P6" i="1"/>
  <c r="W6" i="1"/>
  <c r="AI6" i="1"/>
  <c r="J6" i="1"/>
  <c r="D22" i="14"/>
  <c r="D24" i="14" s="1"/>
  <c r="D13" i="14"/>
  <c r="D15" i="14" s="1"/>
  <c r="D3" i="14"/>
  <c r="D5" i="14" s="1"/>
  <c r="C27" i="13"/>
  <c r="O7" i="1"/>
  <c r="D13" i="13"/>
  <c r="D3" i="13"/>
  <c r="D25" i="19"/>
  <c r="D26" i="19" s="1"/>
  <c r="C18" i="19"/>
  <c r="C9" i="19"/>
  <c r="C9" i="16"/>
  <c r="D3" i="16" s="1"/>
  <c r="D5" i="16" s="1"/>
  <c r="C8" i="16"/>
  <c r="C27" i="16"/>
  <c r="D21" i="16" s="1"/>
  <c r="D23" i="16" s="1"/>
  <c r="C18" i="16"/>
  <c r="D12" i="16" s="1"/>
  <c r="D14" i="16" s="1"/>
  <c r="D17" i="14"/>
  <c r="D18" i="14" s="1"/>
  <c r="D26" i="14"/>
  <c r="D27" i="14" s="1"/>
  <c r="D7" i="14"/>
  <c r="D8" i="14" s="1"/>
  <c r="D3" i="19" l="1"/>
  <c r="D5" i="19" s="1"/>
  <c r="B29" i="11"/>
  <c r="B5" i="11" s="1"/>
  <c r="H5" i="20"/>
  <c r="AA9" i="1"/>
  <c r="D12" i="19"/>
  <c r="D14" i="19" s="1"/>
  <c r="B28" i="11"/>
  <c r="B4" i="11" s="1"/>
  <c r="H4" i="20"/>
  <c r="C9" i="1"/>
  <c r="O8" i="1"/>
  <c r="C28" i="13"/>
  <c r="D15" i="13"/>
  <c r="AB3" i="1"/>
  <c r="D5" i="13"/>
  <c r="D3" i="1"/>
  <c r="D7" i="19"/>
  <c r="D8" i="19" s="1"/>
  <c r="D16" i="19"/>
  <c r="D17" i="19" s="1"/>
  <c r="D27" i="19"/>
  <c r="D7" i="16"/>
  <c r="D8" i="16" s="1"/>
  <c r="D16" i="16"/>
  <c r="D17" i="16" s="1"/>
  <c r="D25" i="16"/>
  <c r="D26" i="16" s="1"/>
  <c r="D28" i="14"/>
  <c r="E22" i="14" s="1"/>
  <c r="E24" i="14" s="1"/>
  <c r="D19" i="14"/>
  <c r="E13" i="14" s="1"/>
  <c r="E15" i="14" s="1"/>
  <c r="D9" i="14"/>
  <c r="E3" i="14" s="1"/>
  <c r="E5" i="14" s="1"/>
  <c r="E21" i="19" l="1"/>
  <c r="E23" i="19" s="1"/>
  <c r="H3" i="20"/>
  <c r="D22" i="13"/>
  <c r="B3" i="11"/>
  <c r="O9" i="1"/>
  <c r="AB5" i="1"/>
  <c r="D17" i="13"/>
  <c r="D5" i="1"/>
  <c r="D7" i="13"/>
  <c r="D9" i="19"/>
  <c r="E3" i="19" s="1"/>
  <c r="E5" i="19" s="1"/>
  <c r="E25" i="19"/>
  <c r="E26" i="19" s="1"/>
  <c r="D18" i="19"/>
  <c r="E12" i="19" s="1"/>
  <c r="E14" i="19" s="1"/>
  <c r="D9" i="16"/>
  <c r="E3" i="16" s="1"/>
  <c r="E5" i="16" s="1"/>
  <c r="D27" i="16"/>
  <c r="E21" i="16" s="1"/>
  <c r="E23" i="16" s="1"/>
  <c r="D18" i="16"/>
  <c r="E12" i="16" s="1"/>
  <c r="E14" i="16" s="1"/>
  <c r="E7" i="14"/>
  <c r="E8" i="14" s="1"/>
  <c r="E17" i="14"/>
  <c r="E18" i="14" s="1"/>
  <c r="E26" i="14"/>
  <c r="E27" i="14" s="1"/>
  <c r="D24" i="13" l="1"/>
  <c r="P5" i="1" s="1"/>
  <c r="P3" i="1"/>
  <c r="D26" i="13"/>
  <c r="D18" i="13"/>
  <c r="AB8" i="1" s="1"/>
  <c r="AB7" i="1"/>
  <c r="D19" i="13"/>
  <c r="D8" i="13"/>
  <c r="D8" i="1" s="1"/>
  <c r="D7" i="1"/>
  <c r="D9" i="13"/>
  <c r="E7" i="19"/>
  <c r="E8" i="19" s="1"/>
  <c r="E16" i="19"/>
  <c r="E17" i="19" s="1"/>
  <c r="E27" i="19"/>
  <c r="E7" i="16"/>
  <c r="E8" i="16" s="1"/>
  <c r="E25" i="16"/>
  <c r="E26" i="16" s="1"/>
  <c r="E16" i="16"/>
  <c r="E17" i="16" s="1"/>
  <c r="E9" i="16"/>
  <c r="F3" i="16" s="1"/>
  <c r="F5" i="16" s="1"/>
  <c r="E28" i="14"/>
  <c r="E19" i="14"/>
  <c r="E9" i="14"/>
  <c r="F21" i="19" l="1"/>
  <c r="F23" i="19" s="1"/>
  <c r="C27" i="11"/>
  <c r="F22" i="14"/>
  <c r="F24" i="14" s="1"/>
  <c r="F13" i="14"/>
  <c r="F15" i="14" s="1"/>
  <c r="F3" i="14"/>
  <c r="F5" i="14" s="1"/>
  <c r="D27" i="13"/>
  <c r="P8" i="1" s="1"/>
  <c r="P7" i="1"/>
  <c r="D28" i="13"/>
  <c r="E13" i="13"/>
  <c r="AB9" i="1"/>
  <c r="E3" i="13"/>
  <c r="D9" i="1"/>
  <c r="F25" i="19"/>
  <c r="F26" i="19" s="1"/>
  <c r="E18" i="19"/>
  <c r="E9" i="19"/>
  <c r="F7" i="16"/>
  <c r="F8" i="16" s="1"/>
  <c r="E18" i="16"/>
  <c r="E27" i="16"/>
  <c r="F21" i="16" s="1"/>
  <c r="F23" i="16" s="1"/>
  <c r="F7" i="14"/>
  <c r="F8" i="14" s="1"/>
  <c r="F17" i="14"/>
  <c r="F18" i="14" s="1"/>
  <c r="F26" i="14"/>
  <c r="F27" i="14" s="1"/>
  <c r="F3" i="19" l="1"/>
  <c r="F5" i="19" s="1"/>
  <c r="C29" i="11"/>
  <c r="F12" i="19"/>
  <c r="F14" i="19" s="1"/>
  <c r="C28" i="11"/>
  <c r="F12" i="16"/>
  <c r="F14" i="16" s="1"/>
  <c r="C22" i="11"/>
  <c r="E22" i="13"/>
  <c r="P9" i="1"/>
  <c r="E15" i="13"/>
  <c r="AC5" i="1" s="1"/>
  <c r="AC3" i="1"/>
  <c r="E17" i="13"/>
  <c r="E5" i="13"/>
  <c r="E5" i="1" s="1"/>
  <c r="E3" i="1"/>
  <c r="E7" i="13"/>
  <c r="F7" i="19"/>
  <c r="F8" i="19" s="1"/>
  <c r="F16" i="19"/>
  <c r="F17" i="19" s="1"/>
  <c r="F27" i="19"/>
  <c r="F16" i="16"/>
  <c r="F17" i="16" s="1"/>
  <c r="F25" i="16"/>
  <c r="F26" i="16" s="1"/>
  <c r="F9" i="16"/>
  <c r="G3" i="16" s="1"/>
  <c r="G5" i="16" s="1"/>
  <c r="F28" i="14"/>
  <c r="G22" i="14" s="1"/>
  <c r="G24" i="14" s="1"/>
  <c r="F19" i="14"/>
  <c r="G13" i="14" s="1"/>
  <c r="G15" i="14" s="1"/>
  <c r="F9" i="14"/>
  <c r="G3" i="14" s="1"/>
  <c r="G5" i="14" s="1"/>
  <c r="G21" i="19" l="1"/>
  <c r="G23" i="19" s="1"/>
  <c r="E3" i="20"/>
  <c r="E24" i="13"/>
  <c r="Q5" i="1" s="1"/>
  <c r="Q3" i="1"/>
  <c r="E26" i="13"/>
  <c r="E18" i="13"/>
  <c r="AC8" i="1" s="1"/>
  <c r="AC7" i="1"/>
  <c r="E19" i="13"/>
  <c r="E8" i="13"/>
  <c r="E8" i="1" s="1"/>
  <c r="E7" i="1"/>
  <c r="E9" i="13"/>
  <c r="G25" i="19"/>
  <c r="G26" i="19" s="1"/>
  <c r="F18" i="19"/>
  <c r="F9" i="19"/>
  <c r="F27" i="16"/>
  <c r="G21" i="16" s="1"/>
  <c r="G23" i="16" s="1"/>
  <c r="F18" i="16"/>
  <c r="G7" i="16"/>
  <c r="G8" i="16" s="1"/>
  <c r="G7" i="14"/>
  <c r="G8" i="14" s="1"/>
  <c r="G17" i="14"/>
  <c r="G18" i="14" s="1"/>
  <c r="G26" i="14"/>
  <c r="G27" i="14" s="1"/>
  <c r="G3" i="19" l="1"/>
  <c r="G5" i="19" s="1"/>
  <c r="E5" i="20"/>
  <c r="G12" i="19"/>
  <c r="G14" i="19" s="1"/>
  <c r="E4" i="20"/>
  <c r="G12" i="16"/>
  <c r="G14" i="16" s="1"/>
  <c r="E4" i="18"/>
  <c r="E27" i="13"/>
  <c r="Q8" i="1" s="1"/>
  <c r="Q7" i="1"/>
  <c r="E28" i="13"/>
  <c r="F13" i="13"/>
  <c r="C5" i="11"/>
  <c r="AC9" i="1"/>
  <c r="F3" i="13"/>
  <c r="C4" i="11"/>
  <c r="E9" i="1"/>
  <c r="G16" i="19"/>
  <c r="G17" i="19" s="1"/>
  <c r="G27" i="19"/>
  <c r="H21" i="19" s="1"/>
  <c r="H23" i="19" s="1"/>
  <c r="G7" i="19"/>
  <c r="G8" i="19" s="1"/>
  <c r="G16" i="16"/>
  <c r="G17" i="16" s="1"/>
  <c r="G9" i="16"/>
  <c r="H3" i="16" s="1"/>
  <c r="H5" i="16" s="1"/>
  <c r="G25" i="16"/>
  <c r="G26" i="16" s="1"/>
  <c r="G28" i="14"/>
  <c r="H22" i="14" s="1"/>
  <c r="H24" i="14" s="1"/>
  <c r="G19" i="14"/>
  <c r="H13" i="14" s="1"/>
  <c r="H15" i="14" s="1"/>
  <c r="G9" i="14"/>
  <c r="H3" i="14" s="1"/>
  <c r="H5" i="14" s="1"/>
  <c r="F22" i="13" l="1"/>
  <c r="C3" i="11"/>
  <c r="Q9" i="1"/>
  <c r="F15" i="13"/>
  <c r="AD5" i="1" s="1"/>
  <c r="AD3" i="1"/>
  <c r="F17" i="13"/>
  <c r="F5" i="13"/>
  <c r="F5" i="1" s="1"/>
  <c r="F3" i="1"/>
  <c r="F7" i="13"/>
  <c r="H25" i="19"/>
  <c r="H26" i="19" s="1"/>
  <c r="G9" i="19"/>
  <c r="H3" i="19" s="1"/>
  <c r="H5" i="19" s="1"/>
  <c r="G18" i="19"/>
  <c r="H12" i="19" s="1"/>
  <c r="H14" i="19" s="1"/>
  <c r="H7" i="16"/>
  <c r="H8" i="16" s="1"/>
  <c r="G27" i="16"/>
  <c r="H21" i="16" s="1"/>
  <c r="H23" i="16" s="1"/>
  <c r="G18" i="16"/>
  <c r="H12" i="16" s="1"/>
  <c r="H14" i="16" s="1"/>
  <c r="H7" i="14"/>
  <c r="H8" i="14" s="1"/>
  <c r="H17" i="14"/>
  <c r="H18" i="14" s="1"/>
  <c r="H26" i="14"/>
  <c r="H27" i="14" s="1"/>
  <c r="F24" i="13" l="1"/>
  <c r="R5" i="1" s="1"/>
  <c r="R3" i="1"/>
  <c r="F26" i="13"/>
  <c r="F18" i="13"/>
  <c r="AD8" i="1" s="1"/>
  <c r="AD7" i="1"/>
  <c r="F19" i="13"/>
  <c r="F8" i="13"/>
  <c r="F8" i="1" s="1"/>
  <c r="F7" i="1"/>
  <c r="F9" i="13"/>
  <c r="H16" i="19"/>
  <c r="H17" i="19" s="1"/>
  <c r="H7" i="19"/>
  <c r="H8" i="19" s="1"/>
  <c r="H27" i="19"/>
  <c r="I21" i="19" s="1"/>
  <c r="I23" i="19" s="1"/>
  <c r="H16" i="16"/>
  <c r="H17" i="16" s="1"/>
  <c r="H25" i="16"/>
  <c r="H26" i="16" s="1"/>
  <c r="H9" i="16"/>
  <c r="I3" i="16" s="1"/>
  <c r="I5" i="16" s="1"/>
  <c r="H28" i="14"/>
  <c r="I22" i="14" s="1"/>
  <c r="I24" i="14" s="1"/>
  <c r="H19" i="14"/>
  <c r="I13" i="14" s="1"/>
  <c r="I15" i="14" s="1"/>
  <c r="H9" i="14"/>
  <c r="I3" i="14" s="1"/>
  <c r="I5" i="14" s="1"/>
  <c r="F27" i="13" l="1"/>
  <c r="R8" i="1" s="1"/>
  <c r="R7" i="1"/>
  <c r="F28" i="13"/>
  <c r="G13" i="13"/>
  <c r="AD9" i="1"/>
  <c r="G3" i="13"/>
  <c r="F9" i="1"/>
  <c r="I25" i="19"/>
  <c r="I26" i="19" s="1"/>
  <c r="H9" i="19"/>
  <c r="I3" i="19" s="1"/>
  <c r="I5" i="19" s="1"/>
  <c r="H18" i="19"/>
  <c r="I12" i="19" s="1"/>
  <c r="I14" i="19" s="1"/>
  <c r="I7" i="16"/>
  <c r="I8" i="16" s="1"/>
  <c r="H27" i="16"/>
  <c r="I21" i="16" s="1"/>
  <c r="I23" i="16" s="1"/>
  <c r="H18" i="16"/>
  <c r="I12" i="16" s="1"/>
  <c r="I14" i="16" s="1"/>
  <c r="I17" i="14"/>
  <c r="I18" i="14" s="1"/>
  <c r="I7" i="14"/>
  <c r="I8" i="14" s="1"/>
  <c r="I26" i="14"/>
  <c r="I27" i="14" s="1"/>
  <c r="G22" i="13" l="1"/>
  <c r="R9" i="1"/>
  <c r="G15" i="13"/>
  <c r="AE5" i="1" s="1"/>
  <c r="AE3" i="1"/>
  <c r="G17" i="13"/>
  <c r="G5" i="13"/>
  <c r="G5" i="1" s="1"/>
  <c r="G3" i="1"/>
  <c r="G7" i="13"/>
  <c r="I16" i="19"/>
  <c r="I17" i="19" s="1"/>
  <c r="I27" i="19"/>
  <c r="J21" i="19" s="1"/>
  <c r="J23" i="19" s="1"/>
  <c r="I7" i="19"/>
  <c r="I8" i="19" s="1"/>
  <c r="I16" i="16"/>
  <c r="I17" i="16" s="1"/>
  <c r="I25" i="16"/>
  <c r="I26" i="16" s="1"/>
  <c r="I9" i="16"/>
  <c r="J3" i="16" s="1"/>
  <c r="J5" i="16" s="1"/>
  <c r="I28" i="14"/>
  <c r="J22" i="14" s="1"/>
  <c r="J24" i="14" s="1"/>
  <c r="I9" i="14"/>
  <c r="J3" i="14" s="1"/>
  <c r="J5" i="14" s="1"/>
  <c r="I19" i="14"/>
  <c r="J13" i="14" s="1"/>
  <c r="J15" i="14" s="1"/>
  <c r="G24" i="13" l="1"/>
  <c r="S5" i="1" s="1"/>
  <c r="S3" i="1"/>
  <c r="G26" i="13"/>
  <c r="G18" i="13"/>
  <c r="AE8" i="1" s="1"/>
  <c r="AE7" i="1"/>
  <c r="G19" i="13"/>
  <c r="G8" i="13"/>
  <c r="G8" i="1" s="1"/>
  <c r="G7" i="1"/>
  <c r="G9" i="13"/>
  <c r="I9" i="19"/>
  <c r="J3" i="19" s="1"/>
  <c r="J5" i="19" s="1"/>
  <c r="J25" i="19"/>
  <c r="J26" i="19" s="1"/>
  <c r="I18" i="19"/>
  <c r="J12" i="19" s="1"/>
  <c r="J14" i="19" s="1"/>
  <c r="I18" i="16"/>
  <c r="J12" i="16" s="1"/>
  <c r="J14" i="16" s="1"/>
  <c r="J7" i="16"/>
  <c r="J8" i="16" s="1"/>
  <c r="I27" i="16"/>
  <c r="J21" i="16" s="1"/>
  <c r="J23" i="16" s="1"/>
  <c r="J7" i="14"/>
  <c r="J8" i="14" s="1"/>
  <c r="J26" i="14"/>
  <c r="J27" i="14" s="1"/>
  <c r="J17" i="14"/>
  <c r="J18" i="14" s="1"/>
  <c r="G27" i="13" l="1"/>
  <c r="S8" i="1" s="1"/>
  <c r="S7" i="1"/>
  <c r="G28" i="13"/>
  <c r="H13" i="13"/>
  <c r="AE9" i="1"/>
  <c r="H3" i="13"/>
  <c r="G9" i="1"/>
  <c r="J16" i="19"/>
  <c r="J17" i="19" s="1"/>
  <c r="J27" i="19"/>
  <c r="K21" i="19" s="1"/>
  <c r="K23" i="19" s="1"/>
  <c r="J7" i="19"/>
  <c r="J8" i="19" s="1"/>
  <c r="J25" i="16"/>
  <c r="J26" i="16" s="1"/>
  <c r="J9" i="16"/>
  <c r="K3" i="16" s="1"/>
  <c r="K5" i="16" s="1"/>
  <c r="J16" i="16"/>
  <c r="J17" i="16" s="1"/>
  <c r="J19" i="14"/>
  <c r="K13" i="14" s="1"/>
  <c r="K15" i="14" s="1"/>
  <c r="J28" i="14"/>
  <c r="K22" i="14" s="1"/>
  <c r="K24" i="14" s="1"/>
  <c r="J9" i="14"/>
  <c r="K3" i="14" s="1"/>
  <c r="K5" i="14" s="1"/>
  <c r="H22" i="13" l="1"/>
  <c r="S9" i="1"/>
  <c r="H15" i="13"/>
  <c r="AF5" i="1" s="1"/>
  <c r="AF3" i="1"/>
  <c r="H17" i="13"/>
  <c r="H5" i="13"/>
  <c r="H5" i="1" s="1"/>
  <c r="H3" i="1"/>
  <c r="H7" i="13"/>
  <c r="K25" i="19"/>
  <c r="K26" i="19" s="1"/>
  <c r="J18" i="19"/>
  <c r="K12" i="19" s="1"/>
  <c r="K14" i="19" s="1"/>
  <c r="J9" i="19"/>
  <c r="K3" i="19" s="1"/>
  <c r="K5" i="19" s="1"/>
  <c r="K7" i="16"/>
  <c r="K8" i="16" s="1"/>
  <c r="J18" i="16"/>
  <c r="K12" i="16" s="1"/>
  <c r="K14" i="16" s="1"/>
  <c r="J27" i="16"/>
  <c r="K21" i="16" s="1"/>
  <c r="K23" i="16" s="1"/>
  <c r="K7" i="14"/>
  <c r="K8" i="14" s="1"/>
  <c r="K26" i="14"/>
  <c r="K27" i="14" s="1"/>
  <c r="K17" i="14"/>
  <c r="K18" i="14" s="1"/>
  <c r="H24" i="13" l="1"/>
  <c r="T5" i="1" s="1"/>
  <c r="T3" i="1"/>
  <c r="H26" i="13"/>
  <c r="H18" i="13"/>
  <c r="AF8" i="1" s="1"/>
  <c r="AF7" i="1"/>
  <c r="H19" i="13"/>
  <c r="H8" i="13"/>
  <c r="H8" i="1" s="1"/>
  <c r="H7" i="1"/>
  <c r="H9" i="13"/>
  <c r="K16" i="19"/>
  <c r="K17" i="19" s="1"/>
  <c r="K27" i="19"/>
  <c r="L21" i="19" s="1"/>
  <c r="L23" i="19" s="1"/>
  <c r="K7" i="19"/>
  <c r="K8" i="19" s="1"/>
  <c r="K25" i="16"/>
  <c r="K26" i="16" s="1"/>
  <c r="K9" i="16"/>
  <c r="L3" i="16" s="1"/>
  <c r="L5" i="16" s="1"/>
  <c r="K16" i="16"/>
  <c r="K17" i="16" s="1"/>
  <c r="K19" i="14"/>
  <c r="L13" i="14" s="1"/>
  <c r="L15" i="14" s="1"/>
  <c r="K28" i="14"/>
  <c r="L22" i="14" s="1"/>
  <c r="L24" i="14" s="1"/>
  <c r="K9" i="14"/>
  <c r="L3" i="14" s="1"/>
  <c r="L5" i="14" s="1"/>
  <c r="H27" i="13" l="1"/>
  <c r="T8" i="1" s="1"/>
  <c r="T7" i="1"/>
  <c r="H28" i="13"/>
  <c r="I13" i="13"/>
  <c r="AF9" i="1"/>
  <c r="I3" i="13"/>
  <c r="H9" i="1"/>
  <c r="L25" i="19"/>
  <c r="L26" i="19" s="1"/>
  <c r="K18" i="19"/>
  <c r="L12" i="19" s="1"/>
  <c r="L14" i="19" s="1"/>
  <c r="K9" i="19"/>
  <c r="L3" i="19" s="1"/>
  <c r="L5" i="19" s="1"/>
  <c r="L7" i="16"/>
  <c r="L8" i="16" s="1"/>
  <c r="K18" i="16"/>
  <c r="L12" i="16" s="1"/>
  <c r="L14" i="16" s="1"/>
  <c r="K27" i="16"/>
  <c r="L21" i="16" s="1"/>
  <c r="L23" i="16" s="1"/>
  <c r="L7" i="14"/>
  <c r="L8" i="14" s="1"/>
  <c r="L26" i="14"/>
  <c r="L27" i="14" s="1"/>
  <c r="L17" i="14"/>
  <c r="L18" i="14" s="1"/>
  <c r="I22" i="13" l="1"/>
  <c r="T9" i="1"/>
  <c r="I15" i="13"/>
  <c r="AG5" i="1" s="1"/>
  <c r="AG3" i="1"/>
  <c r="I17" i="13"/>
  <c r="I5" i="13"/>
  <c r="I5" i="1" s="1"/>
  <c r="I3" i="1"/>
  <c r="I7" i="13"/>
  <c r="L7" i="19"/>
  <c r="L8" i="19" s="1"/>
  <c r="L16" i="19"/>
  <c r="L17" i="19" s="1"/>
  <c r="L27" i="19"/>
  <c r="L25" i="16"/>
  <c r="L26" i="16" s="1"/>
  <c r="L16" i="16"/>
  <c r="L17" i="16" s="1"/>
  <c r="L9" i="16"/>
  <c r="M3" i="16" s="1"/>
  <c r="L19" i="14"/>
  <c r="L9" i="14"/>
  <c r="L28" i="14"/>
  <c r="M21" i="19" l="1"/>
  <c r="B3" i="20" s="1"/>
  <c r="D27" i="11"/>
  <c r="I24" i="13"/>
  <c r="U5" i="1" s="1"/>
  <c r="U3" i="1"/>
  <c r="I26" i="13"/>
  <c r="I18" i="13"/>
  <c r="AG8" i="1" s="1"/>
  <c r="AG7" i="1"/>
  <c r="I19" i="13"/>
  <c r="I8" i="13"/>
  <c r="I8" i="1" s="1"/>
  <c r="I7" i="1"/>
  <c r="I9" i="13"/>
  <c r="L18" i="19"/>
  <c r="L9" i="19"/>
  <c r="L18" i="16"/>
  <c r="L27" i="16"/>
  <c r="M21" i="16" s="1"/>
  <c r="M3" i="19" l="1"/>
  <c r="B5" i="20" s="1"/>
  <c r="D29" i="11"/>
  <c r="M12" i="19"/>
  <c r="B4" i="20" s="1"/>
  <c r="D28" i="11"/>
  <c r="M12" i="16"/>
  <c r="B4" i="18" s="1"/>
  <c r="D22" i="11"/>
  <c r="I27" i="13"/>
  <c r="U8" i="1" s="1"/>
  <c r="U7" i="1"/>
  <c r="I28" i="13"/>
  <c r="J13" i="13"/>
  <c r="AG9" i="1"/>
  <c r="J3" i="13"/>
  <c r="I9" i="1"/>
  <c r="J22" i="13" l="1"/>
  <c r="U9" i="1"/>
  <c r="J15" i="13"/>
  <c r="AH5" i="1" s="1"/>
  <c r="AH3" i="1"/>
  <c r="J17" i="13"/>
  <c r="J5" i="13"/>
  <c r="J5" i="1" s="1"/>
  <c r="J3" i="1"/>
  <c r="J7" i="13"/>
  <c r="J24" i="13" l="1"/>
  <c r="V5" i="1" s="1"/>
  <c r="V3" i="1"/>
  <c r="J26" i="13"/>
  <c r="J18" i="13"/>
  <c r="AH8" i="1" s="1"/>
  <c r="AH7" i="1"/>
  <c r="J19" i="13"/>
  <c r="J8" i="13"/>
  <c r="J8" i="1" s="1"/>
  <c r="J7" i="1"/>
  <c r="J9" i="13"/>
  <c r="J27" i="13" l="1"/>
  <c r="V8" i="1" s="1"/>
  <c r="V7" i="1"/>
  <c r="J28" i="13"/>
  <c r="K13" i="13"/>
  <c r="AH9" i="1"/>
  <c r="K3" i="13"/>
  <c r="J9" i="1"/>
  <c r="K22" i="13" l="1"/>
  <c r="V9" i="1"/>
  <c r="K15" i="13"/>
  <c r="AI5" i="1" s="1"/>
  <c r="AI3" i="1"/>
  <c r="K17" i="13"/>
  <c r="K5" i="13"/>
  <c r="K5" i="1" s="1"/>
  <c r="K3" i="1"/>
  <c r="K7" i="13"/>
  <c r="K24" i="13" l="1"/>
  <c r="W5" i="1" s="1"/>
  <c r="W3" i="1"/>
  <c r="K26" i="13"/>
  <c r="K18" i="13"/>
  <c r="AI8" i="1" s="1"/>
  <c r="AI7" i="1"/>
  <c r="K19" i="13"/>
  <c r="K8" i="13"/>
  <c r="K8" i="1" s="1"/>
  <c r="K7" i="1"/>
  <c r="K9" i="13"/>
  <c r="K27" i="13" l="1"/>
  <c r="W8" i="1" s="1"/>
  <c r="W7" i="1"/>
  <c r="K28" i="13"/>
  <c r="L13" i="13"/>
  <c r="AI9" i="1"/>
  <c r="L3" i="13"/>
  <c r="K9" i="1"/>
  <c r="L22" i="13" l="1"/>
  <c r="W9" i="1"/>
  <c r="L15" i="13"/>
  <c r="AJ5" i="1" s="1"/>
  <c r="AJ3" i="1"/>
  <c r="L17" i="13"/>
  <c r="L5" i="13"/>
  <c r="L5" i="1" s="1"/>
  <c r="L3" i="1"/>
  <c r="L7" i="13"/>
  <c r="L24" i="13" l="1"/>
  <c r="X5" i="1" s="1"/>
  <c r="X3" i="1"/>
  <c r="L26" i="13"/>
  <c r="L18" i="13"/>
  <c r="AJ8" i="1" s="1"/>
  <c r="AJ7" i="1"/>
  <c r="L19" i="13"/>
  <c r="L8" i="13"/>
  <c r="L8" i="1" s="1"/>
  <c r="L7" i="1"/>
  <c r="L9" i="13"/>
  <c r="L27" i="13" l="1"/>
  <c r="X8" i="1" s="1"/>
  <c r="X7" i="1"/>
  <c r="L28" i="13"/>
  <c r="D5" i="11"/>
  <c r="AJ9" i="1"/>
  <c r="D4" i="11"/>
  <c r="L9" i="1"/>
  <c r="D3" i="11" l="1"/>
  <c r="X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<sst xmlns="http://schemas.openxmlformats.org/spreadsheetml/2006/main" count="263" uniqueCount="75">
  <si>
    <t>Total</t>
  </si>
  <si>
    <t>Costs</t>
  </si>
  <si>
    <t>1 Year</t>
  </si>
  <si>
    <t>3 Years</t>
  </si>
  <si>
    <t>10 Years</t>
  </si>
  <si>
    <t>Profit - Higher Costs </t>
  </si>
  <si>
    <t>Higher Costs</t>
  </si>
  <si>
    <t>Profit - Average Costs </t>
  </si>
  <si>
    <t>Average Costs</t>
  </si>
  <si>
    <t>Profit – Lower Costs </t>
  </si>
  <si>
    <t>Lower Costs</t>
  </si>
  <si>
    <t>Business Interruption</t>
  </si>
  <si>
    <t>Equipment Failure</t>
  </si>
  <si>
    <t>Worker's Compensation</t>
  </si>
  <si>
    <t>Cargo Loss</t>
  </si>
  <si>
    <t>Year</t>
  </si>
  <si>
    <t>Yield curve</t>
  </si>
  <si>
    <t>Expected Costs</t>
  </si>
  <si>
    <t>Upper Bound Costs / Lower Bound Profit</t>
  </si>
  <si>
    <t>Lower Bound Costs / Upper Bound Profit</t>
  </si>
  <si>
    <t>Retained Earnings</t>
  </si>
  <si>
    <t>Premium Revenue (Inflation + Exposure)</t>
  </si>
  <si>
    <t>Interest on Premium and Retained Profit</t>
  </si>
  <si>
    <t>Costs (Inflation + Exposure)</t>
  </si>
  <si>
    <t>Profit at half year</t>
  </si>
  <si>
    <t>Interest on Profit</t>
  </si>
  <si>
    <t>Final Profit</t>
  </si>
  <si>
    <t>half of current year</t>
  </si>
  <si>
    <t>Interest on Premium and Retained Profits</t>
  </si>
  <si>
    <t>half previous year + half current year</t>
  </si>
  <si>
    <t>Lower Bound</t>
  </si>
  <si>
    <t>previous years + half of current year</t>
  </si>
  <si>
    <t>Upper Bound</t>
  </si>
  <si>
    <t>Index 1</t>
  </si>
  <si>
    <t>Interest</t>
  </si>
  <si>
    <t>Inflation</t>
  </si>
  <si>
    <t>Helionis and Bayesia Growth</t>
  </si>
  <si>
    <t>Oryn Delta Growth</t>
  </si>
  <si>
    <t>Premium Growth (H and B)</t>
  </si>
  <si>
    <t>Premium Growth (O)</t>
  </si>
  <si>
    <t>Premium Growth</t>
  </si>
  <si>
    <t>Cost Growth (H and B)</t>
  </si>
  <si>
    <t>Cost Growth (O)</t>
  </si>
  <si>
    <t>Cost Growth</t>
  </si>
  <si>
    <t>Equipment Failure Exposure:</t>
  </si>
  <si>
    <t>Equipment</t>
  </si>
  <si>
    <t>Helionis Cluster</t>
  </si>
  <si>
    <t>Bayesian System</t>
  </si>
  <si>
    <t>Oryn Delta</t>
  </si>
  <si>
    <t>Weighted Growth:</t>
  </si>
  <si>
    <t>Business Interruption Exposure:</t>
  </si>
  <si>
    <t>Helionis</t>
  </si>
  <si>
    <t>Bayesia</t>
  </si>
  <si>
    <t>Oryn</t>
  </si>
  <si>
    <t>Growth is the same for Business Interruption and Equipment Failure</t>
  </si>
  <si>
    <t>Workers Compensation</t>
  </si>
  <si>
    <t>Premium</t>
  </si>
  <si>
    <t>Inflated Costs</t>
  </si>
  <si>
    <t>Mean</t>
  </si>
  <si>
    <t>Workers Compensation (10 yrs)</t>
  </si>
  <si>
    <t>Workers Compensation (3 yrs)</t>
  </si>
  <si>
    <t>Workers Compensation (1 yrs)</t>
  </si>
  <si>
    <t>Mean Costs</t>
  </si>
  <si>
    <t>Expected Loss</t>
  </si>
  <si>
    <t>Lower</t>
  </si>
  <si>
    <t>Upper</t>
  </si>
  <si>
    <t>Cargo Loss (10 yrs)</t>
  </si>
  <si>
    <t>Cargo Loss (3 yrs)</t>
  </si>
  <si>
    <t>Cargo Loss (1 yrs)</t>
  </si>
  <si>
    <t>Inflation 2</t>
  </si>
  <si>
    <t>Index 2</t>
  </si>
  <si>
    <t>H Growth</t>
  </si>
  <si>
    <t>B Growth</t>
  </si>
  <si>
    <t>O Growth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</si>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</sst>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 (Body)"/>
    </font>
    <font>
      <b/>
      <sz val="11"/>
      <color theme="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164" fontId="0" fillId="0" borderId="0" xfId="1" applyFont="1"/>
    <xf numFmtId="164" fontId="0" fillId="2" borderId="0" xfId="1" applyFont="1" applyFill="1"/>
    <xf numFmtId="164" fontId="0" fillId="3" borderId="0" xfId="1" applyFont="1" applyFill="1"/>
    <xf numFmtId="164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165" fontId="0" fillId="2" borderId="0" xfId="1" applyNumberFormat="1" applyFont="1" applyFill="1"/>
    <xf numFmtId="165" fontId="0" fillId="0" borderId="0" xfId="1" applyNumberFormat="1" applyFont="1"/>
    <xf numFmtId="3" fontId="0" fillId="0" borderId="0" xfId="0" applyNumberFormat="1"/>
    <xf numFmtId="164" fontId="2" fillId="0" borderId="0" xfId="1" applyFont="1"/>
    <xf numFmtId="0" fontId="7" fillId="4" borderId="0" xfId="0" applyFont="1" applyFill="1" applyAlignment="1">
      <alignment wrapText="1"/>
    </xf>
    <xf numFmtId="0" fontId="7" fillId="4" borderId="0" xfId="0" applyFont="1" applyFill="1" applyAlignment="1">
      <alignment horizontal="right" wrapText="1"/>
    </xf>
    <xf numFmtId="3" fontId="8" fillId="0" borderId="0" xfId="0" applyNumberFormat="1" applyFont="1"/>
    <xf numFmtId="0" fontId="0" fillId="0" borderId="1" xfId="0" applyBorder="1"/>
    <xf numFmtId="0" fontId="9" fillId="0" borderId="1" xfId="0" applyFont="1" applyBorder="1"/>
    <xf numFmtId="165" fontId="0" fillId="0" borderId="1" xfId="0" applyNumberFormat="1" applyBorder="1"/>
    <xf numFmtId="164" fontId="0" fillId="0" borderId="1" xfId="0" applyNumberFormat="1" applyBorder="1"/>
  </cellXfs>
  <cellStyles count="5">
    <cellStyle name="Comma" xfId="1" builtinId="3"/>
    <cellStyle name="Comma 2" xfId="4" xr:uid="{C72E9585-239B-4A8D-86C9-74354A50E59F}"/>
    <cellStyle name="Normal" xfId="0" builtinId="0"/>
    <cellStyle name="Normal 2" xfId="2" xr:uid="{D0C9B130-F8E6-4EB6-8DD2-EF4499358371}"/>
    <cellStyle name="Percent 2" xfId="3" xr:uid="{D798E3E5-C327-4C93-B801-B79A4D13CC1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1A97-3937-4913-B92E-DC4BFCA9FDA4}">
  <dimension ref="A1:I41"/>
  <sheetViews>
    <sheetView tabSelected="1" workbookViewId="0">
      <selection activeCell="I6" sqref="I6"/>
    </sheetView>
  </sheetViews>
  <sheetFormatPr defaultRowHeight="14.45"/>
  <cols>
    <col min="1" max="1" width="23" bestFit="1" customWidth="1"/>
    <col min="2" max="3" width="17.7109375" bestFit="1" customWidth="1"/>
    <col min="4" max="4" width="18.85546875" bestFit="1" customWidth="1"/>
    <col min="6" max="6" width="21.42578125" bestFit="1" customWidth="1"/>
    <col min="7" max="9" width="18.7109375" bestFit="1" customWidth="1"/>
  </cols>
  <sheetData>
    <row r="1" spans="1:9" ht="15">
      <c r="A1" s="1" t="s">
        <v>0</v>
      </c>
      <c r="F1" s="1" t="s">
        <v>1</v>
      </c>
    </row>
    <row r="2" spans="1:9">
      <c r="A2" s="17"/>
      <c r="B2" s="17" t="s">
        <v>2</v>
      </c>
      <c r="C2" s="17" t="s">
        <v>3</v>
      </c>
      <c r="D2" s="17" t="s">
        <v>4</v>
      </c>
      <c r="G2" t="s">
        <v>2</v>
      </c>
      <c r="H2" t="s">
        <v>3</v>
      </c>
      <c r="I2" t="s">
        <v>4</v>
      </c>
    </row>
    <row r="3" spans="1:9" ht="15">
      <c r="A3" s="18" t="s">
        <v>5</v>
      </c>
      <c r="B3" s="19">
        <f>B9+B15+B21+B27</f>
        <v>-2471123162.2507162</v>
      </c>
      <c r="C3" s="19">
        <f t="shared" ref="C3:D3" si="0">C9+C15+C21+C27</f>
        <v>-7565179374.5172138</v>
      </c>
      <c r="D3" s="19">
        <f t="shared" si="0"/>
        <v>-25037172387.542805</v>
      </c>
      <c r="F3" t="s">
        <v>6</v>
      </c>
      <c r="G3" s="6">
        <f>'Aggregate Projection'!O6*(1/((1+B32)^1))</f>
        <v>17247667068.733196</v>
      </c>
      <c r="H3" s="6">
        <f>'Aggregate Projection'!Q6*(1/((1+B34)^3))</f>
        <v>18119646319.819183</v>
      </c>
      <c r="I3" s="6">
        <f>'Aggregate Projection'!X6*(1/((1+B41)^10))</f>
        <v>19731022064.137852</v>
      </c>
    </row>
    <row r="4" spans="1:9" ht="15">
      <c r="A4" s="18" t="s">
        <v>7</v>
      </c>
      <c r="B4" s="19">
        <f t="shared" ref="B4:D5" si="1">B10+B16+B22+B28</f>
        <v>145401341.65694639</v>
      </c>
      <c r="C4" s="19">
        <f t="shared" si="1"/>
        <v>454411680.31177914</v>
      </c>
      <c r="D4" s="19">
        <f t="shared" si="1"/>
        <v>1620159120.0565848</v>
      </c>
      <c r="F4" t="s">
        <v>8</v>
      </c>
      <c r="G4" s="6">
        <f>'Aggregate Projection'!C6*(1/((1+B32)^1))</f>
        <v>14654047168.516859</v>
      </c>
      <c r="H4" s="6">
        <f>'Aggregate Projection'!E6*(1/((1+B34)^3))</f>
        <v>15394909521.570965</v>
      </c>
      <c r="I4" s="6">
        <f>'Aggregate Projection'!L6*(1/((1+B41)^10))</f>
        <v>16763997573.414259</v>
      </c>
    </row>
    <row r="5" spans="1:9" ht="15">
      <c r="A5" s="18" t="s">
        <v>9</v>
      </c>
      <c r="B5" s="19">
        <f t="shared" si="1"/>
        <v>3210153984.2972298</v>
      </c>
      <c r="C5" s="19">
        <f t="shared" si="1"/>
        <v>9847796832.0642414</v>
      </c>
      <c r="D5" s="19">
        <f t="shared" si="1"/>
        <v>32843853332.565834</v>
      </c>
      <c r="F5" t="s">
        <v>10</v>
      </c>
      <c r="G5" s="6">
        <f>'Aggregate Projection'!AA6*(1/((1+B32)^1))</f>
        <v>11616122841.295284</v>
      </c>
      <c r="H5" s="6">
        <f>'Aggregate Projection'!AC6*(1/((1+B34)^3))</f>
        <v>12203417333.674852</v>
      </c>
      <c r="I5" s="6">
        <f>'Aggregate Projection'!AJ6*(1/((1+B41)^10))</f>
        <v>13288745618.280334</v>
      </c>
    </row>
    <row r="7" spans="1:9">
      <c r="A7" s="1" t="s">
        <v>11</v>
      </c>
    </row>
    <row r="8" spans="1:9">
      <c r="B8" t="s">
        <v>2</v>
      </c>
      <c r="C8" t="s">
        <v>3</v>
      </c>
      <c r="D8" t="s">
        <v>4</v>
      </c>
    </row>
    <row r="9" spans="1:9">
      <c r="A9" t="s">
        <v>6</v>
      </c>
      <c r="B9" s="6">
        <f>'Business Interruption'!C28*(1/((1+B32)^1))</f>
        <v>-8354696.7224979345</v>
      </c>
      <c r="C9" s="6">
        <f>'Business Interruption'!E28*(1/((1+B34)^3))</f>
        <v>-25631960.173203368</v>
      </c>
      <c r="D9" s="6">
        <f>'Business Interruption'!L28*(1/((1+B41)^10))</f>
        <v>-85461228.612895712</v>
      </c>
    </row>
    <row r="10" spans="1:9">
      <c r="A10" t="s">
        <v>8</v>
      </c>
      <c r="B10" s="6">
        <f>'Business Interruption'!C9*(1/((1+B32)^1))</f>
        <v>164598.27531436103</v>
      </c>
      <c r="C10" s="6">
        <f>'Business Interruption'!E9*(1/((1+B34)^3))</f>
        <v>503957.43894988758</v>
      </c>
      <c r="D10" s="6">
        <f>'Business Interruption'!L9*(1/((1+B41)^10))</f>
        <v>1676300.5735765148</v>
      </c>
    </row>
    <row r="11" spans="1:9">
      <c r="A11" t="s">
        <v>10</v>
      </c>
      <c r="B11" s="6">
        <f>'Business Interruption'!C19*(1/((1+B32)^1))</f>
        <v>6163769.1688898839</v>
      </c>
      <c r="C11" s="6">
        <f>'Business Interruption'!E19*(1/((1+B34)^3))</f>
        <v>18908512.775510181</v>
      </c>
      <c r="D11" s="6">
        <f>'Business Interruption'!L19*(1/((1+B41)^10))</f>
        <v>63037355.563198484</v>
      </c>
    </row>
    <row r="13" spans="1:9">
      <c r="A13" s="1" t="s">
        <v>12</v>
      </c>
    </row>
    <row r="14" spans="1:9">
      <c r="B14" t="s">
        <v>2</v>
      </c>
      <c r="C14" t="s">
        <v>3</v>
      </c>
      <c r="D14" t="s">
        <v>4</v>
      </c>
    </row>
    <row r="15" spans="1:9">
      <c r="A15" t="s">
        <v>6</v>
      </c>
      <c r="B15" s="6">
        <f>'Equipment Failure'!C28*(1/((1+B32)^1))</f>
        <v>-4672508.2639878131</v>
      </c>
      <c r="C15" s="6">
        <f>'Equipment Failure'!E28*(1/((1+B34)^3))</f>
        <v>-14351895.778928872</v>
      </c>
      <c r="D15" s="6">
        <f>'Equipment Failure'!L28*(1/((1+B41)^10))</f>
        <v>-47916718.287851259</v>
      </c>
    </row>
    <row r="16" spans="1:9">
      <c r="A16" t="s">
        <v>8</v>
      </c>
      <c r="B16" s="6">
        <f>'Equipment Failure'!C9*(1/((1+B32)^1))</f>
        <v>2327630.6379269403</v>
      </c>
      <c r="C16" s="6">
        <f>'Equipment Failure'!E9*(1/((1+B34)^3))</f>
        <v>7123479.0802648617</v>
      </c>
      <c r="D16" s="6">
        <f>'Equipment Failure'!L9*(1/((1+B41)^10))</f>
        <v>23682493.622476261</v>
      </c>
    </row>
    <row r="17" spans="1:4">
      <c r="A17" t="s">
        <v>10</v>
      </c>
      <c r="B17" s="6">
        <f>'Equipment Failure'!C19*(1/((1+B32)^1))</f>
        <v>9154003.7935893927</v>
      </c>
      <c r="C17" s="6">
        <f>'Equipment Failure'!E19*(1/((1+B34)^3))</f>
        <v>28065766.726369813</v>
      </c>
      <c r="D17" s="6">
        <f>'Equipment Failure'!L19*(1/((1+B41)^10))</f>
        <v>93504385.016310707</v>
      </c>
    </row>
    <row r="19" spans="1:4">
      <c r="A19" s="1" t="s">
        <v>13</v>
      </c>
    </row>
    <row r="20" spans="1:4">
      <c r="B20" t="s">
        <v>2</v>
      </c>
      <c r="C20" t="s">
        <v>3</v>
      </c>
      <c r="D20" t="s">
        <v>4</v>
      </c>
    </row>
    <row r="21" spans="1:4">
      <c r="A21" t="s">
        <v>6</v>
      </c>
      <c r="B21" s="3">
        <f>'Workers Compensation'!C27*(1/((1+B32)^1))</f>
        <v>-8418999.0246796664</v>
      </c>
      <c r="C21" s="3">
        <f>'Workers Compensation'!E27*(1/((1+B34)^3))</f>
        <v>-25788958.741086178</v>
      </c>
      <c r="D21" s="3">
        <f>'Workers Compensation'!L27*(1/((1+B41)^10))</f>
        <v>-85534736.15184699</v>
      </c>
    </row>
    <row r="22" spans="1:4">
      <c r="A22" t="s">
        <v>8</v>
      </c>
      <c r="B22" s="3">
        <f>'Workers Compensation'!C18*(1/((1+B32)^1))</f>
        <v>70727.091137306488</v>
      </c>
      <c r="C22" s="3">
        <f>'Workers Compensation'!E18*(1/((1+B34)^3))</f>
        <v>231722.86529208845</v>
      </c>
      <c r="D22" s="3">
        <f>'Workers Compensation'!L18*(1/((1+B41)^10))</f>
        <v>957141.39798862021</v>
      </c>
    </row>
    <row r="23" spans="1:4">
      <c r="A23" t="s">
        <v>10</v>
      </c>
      <c r="B23" s="3">
        <f>'Workers Compensation'!C9*(1/((1+B32)^1))</f>
        <v>8409789.4907229505</v>
      </c>
      <c r="C23" s="3">
        <f>'Workers Compensation'!E9*(1/((1+B34)^3))</f>
        <v>25790626.01896086</v>
      </c>
      <c r="D23" s="3">
        <f>'Workers Compensation'!L9*(1/((1+B41)^10))</f>
        <v>85914082.777008832</v>
      </c>
    </row>
    <row r="25" spans="1:4">
      <c r="A25" s="1" t="s">
        <v>14</v>
      </c>
    </row>
    <row r="26" spans="1:4">
      <c r="A26" s="17"/>
      <c r="B26" s="17" t="s">
        <v>2</v>
      </c>
      <c r="C26" s="17" t="s">
        <v>3</v>
      </c>
      <c r="D26" s="17" t="s">
        <v>4</v>
      </c>
    </row>
    <row r="27" spans="1:4">
      <c r="A27" s="17" t="s">
        <v>6</v>
      </c>
      <c r="B27" s="20">
        <f>'Cargo Loss'!C27*(1/((1+B32)^1))</f>
        <v>-2449676958.2395506</v>
      </c>
      <c r="C27" s="20">
        <f>'Cargo Loss'!E27*(1/((1+B34)^3))</f>
        <v>-7499406559.8239956</v>
      </c>
      <c r="D27" s="20">
        <f>'Cargo Loss'!L27*(1/((1+B41)^10))</f>
        <v>-24818259704.490211</v>
      </c>
    </row>
    <row r="28" spans="1:4">
      <c r="A28" s="17" t="s">
        <v>8</v>
      </c>
      <c r="B28" s="20">
        <f>'Cargo Loss'!C18*(1/((1+B32)^1))</f>
        <v>142838385.65256777</v>
      </c>
      <c r="C28" s="20">
        <f>'Cargo Loss'!E18*(1/((1+B34)^3))</f>
        <v>446552520.92727232</v>
      </c>
      <c r="D28" s="20">
        <f>'Cargo Loss'!L18*(1/((1+B41)^10))</f>
        <v>1593843184.4625435</v>
      </c>
    </row>
    <row r="29" spans="1:4">
      <c r="A29" s="17" t="s">
        <v>10</v>
      </c>
      <c r="B29" s="20">
        <f>'Cargo Loss'!C9*(1/((1+B32)^1))</f>
        <v>3186426421.8440275</v>
      </c>
      <c r="C29" s="20">
        <f>'Cargo Loss'!E9*(1/((1+B34)^3))</f>
        <v>9775031926.5433998</v>
      </c>
      <c r="D29" s="20">
        <f>'Cargo Loss'!L9*(1/((1+B41)^10))</f>
        <v>32601397509.209316</v>
      </c>
    </row>
    <row r="31" spans="1:4" ht="15">
      <c r="A31" t="s">
        <v>15</v>
      </c>
      <c r="B31" t="s">
        <v>16</v>
      </c>
    </row>
    <row r="32" spans="1:4" ht="15">
      <c r="A32">
        <v>1</v>
      </c>
      <c r="B32">
        <v>1.7740255752987766E-2</v>
      </c>
    </row>
    <row r="33" spans="1:2" ht="15">
      <c r="A33">
        <v>2</v>
      </c>
      <c r="B33">
        <v>1.903980987356646E-2</v>
      </c>
    </row>
    <row r="34" spans="1:2" ht="15">
      <c r="A34">
        <v>3</v>
      </c>
      <c r="B34">
        <v>2.032003147166761E-2</v>
      </c>
    </row>
    <row r="35" spans="1:2" ht="15">
      <c r="A35">
        <v>4</v>
      </c>
      <c r="B35">
        <v>2.158684137788569E-2</v>
      </c>
    </row>
    <row r="36" spans="1:2" ht="15">
      <c r="A36">
        <v>5</v>
      </c>
      <c r="B36">
        <v>2.2844226080733554E-2</v>
      </c>
    </row>
    <row r="37" spans="1:2" ht="15">
      <c r="A37">
        <v>6</v>
      </c>
      <c r="B37">
        <v>2.4094896081125361E-2</v>
      </c>
    </row>
    <row r="38" spans="1:2" ht="15">
      <c r="A38">
        <v>7</v>
      </c>
      <c r="B38">
        <v>2.5340713730866549E-2</v>
      </c>
    </row>
    <row r="39" spans="1:2" ht="15">
      <c r="A39">
        <v>8</v>
      </c>
      <c r="B39">
        <v>2.658297297524026E-2</v>
      </c>
    </row>
    <row r="40" spans="1:2" ht="15">
      <c r="A40">
        <v>9</v>
      </c>
      <c r="B40">
        <v>2.7822583467317141E-2</v>
      </c>
    </row>
    <row r="41" spans="1:2" ht="15">
      <c r="A41">
        <v>10</v>
      </c>
      <c r="B41">
        <v>2.9060192599932311E-2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zoomScaleNormal="100" workbookViewId="0">
      <selection activeCell="D3" sqref="D3"/>
    </sheetView>
  </sheetViews>
  <sheetFormatPr defaultRowHeight="14.45"/>
  <cols>
    <col min="1" max="1" width="37.42578125" bestFit="1" customWidth="1"/>
    <col min="3" max="12" width="18.7109375" bestFit="1" customWidth="1"/>
    <col min="14" max="14" width="38.28515625" bestFit="1" customWidth="1"/>
    <col min="15" max="17" width="18.7109375" bestFit="1" customWidth="1"/>
    <col min="18" max="24" width="18.85546875" bestFit="1" customWidth="1"/>
    <col min="26" max="26" width="38.28515625" bestFit="1" customWidth="1"/>
    <col min="27" max="36" width="18.7109375" bestFit="1" customWidth="1"/>
  </cols>
  <sheetData>
    <row r="1" spans="1:36">
      <c r="A1" s="1" t="s">
        <v>17</v>
      </c>
      <c r="C1">
        <v>2175</v>
      </c>
      <c r="D1">
        <v>2176</v>
      </c>
      <c r="E1">
        <v>2177</v>
      </c>
      <c r="N1" s="1" t="s">
        <v>18</v>
      </c>
      <c r="Z1" s="1" t="s">
        <v>19</v>
      </c>
    </row>
    <row r="2" spans="1:36">
      <c r="A2" s="2"/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 s="2"/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Z2" s="2"/>
      <c r="AA2">
        <v>1</v>
      </c>
      <c r="AB2">
        <v>2</v>
      </c>
      <c r="AC2">
        <v>3</v>
      </c>
      <c r="AD2">
        <v>4</v>
      </c>
      <c r="AE2">
        <v>5</v>
      </c>
      <c r="AF2">
        <v>6</v>
      </c>
      <c r="AG2">
        <v>7</v>
      </c>
      <c r="AH2">
        <v>8</v>
      </c>
      <c r="AI2">
        <v>9</v>
      </c>
      <c r="AJ2">
        <v>10</v>
      </c>
    </row>
    <row r="3" spans="1:36">
      <c r="A3" t="s">
        <v>20</v>
      </c>
      <c r="C3" s="3">
        <f>'Business Interruption'!C3+'Equipment Failure'!C3+'Workers Compensation'!C12+'Cargo Loss'!C12</f>
        <v>0</v>
      </c>
      <c r="D3" s="3">
        <f>'Business Interruption'!D3+'Equipment Failure'!D3+'Workers Compensation'!D12+'Cargo Loss'!D12</f>
        <v>147980798.64476815</v>
      </c>
      <c r="E3" s="3">
        <f>'Business Interruption'!E3+'Equipment Failure'!E3+'Workers Compensation'!E12+'Cargo Loss'!E12</f>
        <v>308527475.40103543</v>
      </c>
      <c r="F3" s="3">
        <f>'Business Interruption'!F3+'Equipment Failure'!F3+'Workers Compensation'!F12+'Cargo Loss'!F12</f>
        <v>482679356.6226604</v>
      </c>
      <c r="G3" s="3">
        <f>'Business Interruption'!G3+'Equipment Failure'!G3+'Workers Compensation'!G12+'Cargo Loss'!G12</f>
        <v>671368447.90628266</v>
      </c>
      <c r="H3" s="3">
        <f>'Business Interruption'!H3+'Equipment Failure'!H3+'Workers Compensation'!H12+'Cargo Loss'!H12</f>
        <v>875473524.11214912</v>
      </c>
      <c r="I3" s="3">
        <f>'Business Interruption'!I3+'Equipment Failure'!I3+'Workers Compensation'!I12+'Cargo Loss'!I12</f>
        <v>1095853473.2134795</v>
      </c>
      <c r="J3" s="3">
        <f>'Business Interruption'!J3+'Equipment Failure'!J3+'Workers Compensation'!J12+'Cargo Loss'!J12</f>
        <v>1333368000.7886789</v>
      </c>
      <c r="K3" s="3">
        <f>'Business Interruption'!K3+'Equipment Failure'!K3+'Workers Compensation'!K12+'Cargo Loss'!K12</f>
        <v>1588890734.3282242</v>
      </c>
      <c r="L3" s="3">
        <f>'Business Interruption'!L3+'Equipment Failure'!L3+'Workers Compensation'!L12+'Cargo Loss'!L12</f>
        <v>1863317656.69416</v>
      </c>
      <c r="N3" t="s">
        <v>20</v>
      </c>
      <c r="O3" s="3">
        <f>'Business Interruption'!C22+'Equipment Failure'!C22+'Workers Compensation'!C21+'Cargo Loss'!C21</f>
        <v>0</v>
      </c>
      <c r="P3" s="3">
        <f>'Business Interruption'!D22+'Equipment Failure'!D22+'Workers Compensation'!D21+'Cargo Loss'!D21</f>
        <v>-2514961519.1461759</v>
      </c>
      <c r="Q3" s="3">
        <f>'Business Interruption'!E22+'Equipment Failure'!E22+'Workers Compensation'!E21+'Cargo Loss'!E21</f>
        <v>-5191014544.6498785</v>
      </c>
      <c r="R3" s="3">
        <f>'Business Interruption'!F22+'Equipment Failure'!F22+'Workers Compensation'!F21+'Cargo Loss'!F21</f>
        <v>-8035787968.1296873</v>
      </c>
      <c r="S3" s="3">
        <f>'Business Interruption'!G22+'Equipment Failure'!G22+'Workers Compensation'!G21+'Cargo Loss'!G21</f>
        <v>-11056926398.64003</v>
      </c>
      <c r="T3" s="3">
        <f>'Business Interruption'!H22+'Equipment Failure'!H22+'Workers Compensation'!H21+'Cargo Loss'!H21</f>
        <v>-14262227060.200148</v>
      </c>
      <c r="U3" s="3">
        <f>'Business Interruption'!I22+'Equipment Failure'!I22+'Workers Compensation'!I21+'Cargo Loss'!I21</f>
        <v>-17659715943.088509</v>
      </c>
      <c r="V3" s="3">
        <f>'Business Interruption'!J22+'Equipment Failure'!J22+'Workers Compensation'!J21+'Cargo Loss'!J21</f>
        <v>-21257691439.404655</v>
      </c>
      <c r="W3" s="3">
        <f>'Business Interruption'!K22+'Equipment Failure'!K22+'Workers Compensation'!K21+'Cargo Loss'!K21</f>
        <v>-25064750871.825291</v>
      </c>
      <c r="X3" s="3">
        <f>'Business Interruption'!L22+'Equipment Failure'!L22+'Workers Compensation'!L21+'Cargo Loss'!L21</f>
        <v>-29089808430.922443</v>
      </c>
      <c r="Z3" t="s">
        <v>20</v>
      </c>
      <c r="AA3" s="3">
        <f>'Business Interruption'!C13+'Equipment Failure'!C13+'Workers Compensation'!C3+'Cargo Loss'!C3</f>
        <v>0</v>
      </c>
      <c r="AB3" s="3">
        <f>'Business Interruption'!D13+'Equipment Failure'!D13+'Workers Compensation'!D3+'Cargo Loss'!D3</f>
        <v>3267102936.9851351</v>
      </c>
      <c r="AC3" s="3">
        <f>'Business Interruption'!E13+'Equipment Failure'!E13+'Workers Compensation'!E3+'Cargo Loss'!E3</f>
        <v>6750172453.5033627</v>
      </c>
      <c r="AD3" s="3">
        <f>'Business Interruption'!F13+'Equipment Failure'!F13+'Workers Compensation'!F3+'Cargo Loss'!F3</f>
        <v>10460400656.493042</v>
      </c>
      <c r="AE3" s="3">
        <f>'Business Interruption'!G13+'Equipment Failure'!G13+'Workers Compensation'!G3+'Cargo Loss'!G3</f>
        <v>14408765017.655415</v>
      </c>
      <c r="AF3" s="3">
        <f>'Business Interruption'!H13+'Equipment Failure'!H13+'Workers Compensation'!H3+'Cargo Loss'!H3</f>
        <v>18606306169.223358</v>
      </c>
      <c r="AG3" s="3">
        <f>'Business Interruption'!I13+'Equipment Failure'!I13+'Workers Compensation'!I3+'Cargo Loss'!I3</f>
        <v>23064289500.155945</v>
      </c>
      <c r="AH3" s="3">
        <f>'Business Interruption'!J13+'Equipment Failure'!J13+'Workers Compensation'!J3+'Cargo Loss'!J3</f>
        <v>27794301222.129589</v>
      </c>
      <c r="AI3" s="3">
        <f>'Business Interruption'!K13+'Equipment Failure'!K13+'Workers Compensation'!K3+'Cargo Loss'!K3</f>
        <v>32808307895.694019</v>
      </c>
      <c r="AJ3" s="3">
        <f>'Business Interruption'!L13+'Equipment Failure'!L13+'Workers Compensation'!L3+'Cargo Loss'!L3</f>
        <v>38118695751.286613</v>
      </c>
    </row>
    <row r="4" spans="1:36">
      <c r="A4" t="s">
        <v>21</v>
      </c>
      <c r="C4" s="3">
        <f>'Business Interruption'!C4+'Equipment Failure'!C4+'Workers Compensation'!C13+'Cargo Loss'!C13</f>
        <v>14928860354</v>
      </c>
      <c r="D4" s="3">
        <f>'Business Interruption'!D4+'Equipment Failure'!D4+'Workers Compensation'!D13+'Cargo Loss'!D13</f>
        <v>15636154632.006327</v>
      </c>
      <c r="E4" s="3">
        <f>'Business Interruption'!E4+'Equipment Failure'!E4+'Workers Compensation'!E13+'Cargo Loss'!E13</f>
        <v>16373268865.146942</v>
      </c>
      <c r="F4" s="3">
        <f>'Business Interruption'!F4+'Equipment Failure'!F4+'Workers Compensation'!F13+'Cargo Loss'!F13</f>
        <v>17139814872.45923</v>
      </c>
      <c r="G4" s="3">
        <f>'Business Interruption'!G4+'Equipment Failure'!G4+'Workers Compensation'!G13+'Cargo Loss'!G13</f>
        <v>17935911780.703209</v>
      </c>
      <c r="H4" s="3">
        <f>'Business Interruption'!H4+'Equipment Failure'!H4+'Workers Compensation'!H13+'Cargo Loss'!H13</f>
        <v>18762004640.750698</v>
      </c>
      <c r="I4" s="3">
        <f>'Business Interruption'!I4+'Equipment Failure'!I4+'Workers Compensation'!I13+'Cargo Loss'!I13</f>
        <v>19618752285.96027</v>
      </c>
      <c r="J4" s="3">
        <f>'Business Interruption'!J4+'Equipment Failure'!J4+'Workers Compensation'!J13+'Cargo Loss'!J13</f>
        <v>20506958139.557537</v>
      </c>
      <c r="K4" s="3">
        <f>'Business Interruption'!K4+'Equipment Failure'!K4+'Workers Compensation'!K13+'Cargo Loss'!K13</f>
        <v>21427527542.556046</v>
      </c>
      <c r="L4" s="3">
        <f>'Business Interruption'!L4+'Equipment Failure'!L4+'Workers Compensation'!L13+'Cargo Loss'!L13</f>
        <v>22381441694.406559</v>
      </c>
      <c r="N4" t="s">
        <v>21</v>
      </c>
      <c r="O4" s="3">
        <f>'Business Interruption'!C23+'Equipment Failure'!C23+'Workers Compensation'!C22+'Cargo Loss'!C22</f>
        <v>14928860354</v>
      </c>
      <c r="P4" s="3">
        <f>'Business Interruption'!D23+'Equipment Failure'!D23+'Workers Compensation'!D22+'Cargo Loss'!D22</f>
        <v>15636154632.006327</v>
      </c>
      <c r="Q4" s="3">
        <f>'Business Interruption'!E23+'Equipment Failure'!E23+'Workers Compensation'!E22+'Cargo Loss'!E22</f>
        <v>16373268865.146942</v>
      </c>
      <c r="R4" s="3">
        <f>'Business Interruption'!F23+'Equipment Failure'!F23+'Workers Compensation'!F22+'Cargo Loss'!F22</f>
        <v>17139814872.45923</v>
      </c>
      <c r="S4" s="3">
        <f>'Business Interruption'!G23+'Equipment Failure'!G23+'Workers Compensation'!G22+'Cargo Loss'!G22</f>
        <v>17935911780.703209</v>
      </c>
      <c r="T4" s="3">
        <f>'Business Interruption'!H23+'Equipment Failure'!H23+'Workers Compensation'!H22+'Cargo Loss'!H22</f>
        <v>18762004640.750698</v>
      </c>
      <c r="U4" s="3">
        <f>'Business Interruption'!I23+'Equipment Failure'!I23+'Workers Compensation'!I22+'Cargo Loss'!I22</f>
        <v>19618752285.96027</v>
      </c>
      <c r="V4" s="3">
        <f>'Business Interruption'!J23+'Equipment Failure'!J23+'Workers Compensation'!J22+'Cargo Loss'!J22</f>
        <v>20506958139.557537</v>
      </c>
      <c r="W4" s="3">
        <f>'Business Interruption'!K23+'Equipment Failure'!K23+'Workers Compensation'!K22+'Cargo Loss'!K22</f>
        <v>21427527542.556046</v>
      </c>
      <c r="X4" s="3">
        <f>'Business Interruption'!L23+'Equipment Failure'!L23+'Workers Compensation'!L22+'Cargo Loss'!L22</f>
        <v>22381441694.406559</v>
      </c>
      <c r="Z4" t="s">
        <v>21</v>
      </c>
      <c r="AA4" s="3">
        <f>'Business Interruption'!C14+'Equipment Failure'!C14+'Workers Compensation'!C4+'Cargo Loss'!C4</f>
        <v>14928860354</v>
      </c>
      <c r="AB4" s="3">
        <f>'Business Interruption'!D14+'Equipment Failure'!D14+'Workers Compensation'!D4+'Cargo Loss'!D4</f>
        <v>15636154632.006327</v>
      </c>
      <c r="AC4" s="3">
        <f>'Business Interruption'!E14+'Equipment Failure'!E14+'Workers Compensation'!E4+'Cargo Loss'!E4</f>
        <v>16373268865.146942</v>
      </c>
      <c r="AD4" s="3">
        <f>'Business Interruption'!F14+'Equipment Failure'!F14+'Workers Compensation'!F4+'Cargo Loss'!F4</f>
        <v>17139814872.45923</v>
      </c>
      <c r="AE4" s="3">
        <f>'Business Interruption'!G14+'Equipment Failure'!G14+'Workers Compensation'!G4+'Cargo Loss'!G4</f>
        <v>17935911780.703209</v>
      </c>
      <c r="AF4" s="3">
        <f>'Business Interruption'!H14+'Equipment Failure'!H14+'Workers Compensation'!H4+'Cargo Loss'!H4</f>
        <v>18762004640.750698</v>
      </c>
      <c r="AG4" s="3">
        <f>'Business Interruption'!I14+'Equipment Failure'!I14+'Workers Compensation'!I4+'Cargo Loss'!I4</f>
        <v>19618752285.96027</v>
      </c>
      <c r="AH4" s="3">
        <f>'Business Interruption'!J14+'Equipment Failure'!J14+'Workers Compensation'!J4+'Cargo Loss'!J4</f>
        <v>20506958139.557537</v>
      </c>
      <c r="AI4" s="3">
        <f>'Business Interruption'!K14+'Equipment Failure'!K14+'Workers Compensation'!K4+'Cargo Loss'!K4</f>
        <v>21427527542.556046</v>
      </c>
      <c r="AJ4" s="3">
        <f>'Business Interruption'!L14+'Equipment Failure'!L14+'Workers Compensation'!L4+'Cargo Loss'!L4</f>
        <v>22381441694.406559</v>
      </c>
    </row>
    <row r="5" spans="1:36">
      <c r="A5" t="s">
        <v>22</v>
      </c>
      <c r="C5" s="3">
        <f>'Business Interruption'!C5+'Equipment Failure'!C5+'Workers Compensation'!C14+'Cargo Loss'!C14</f>
        <v>131838759.38913561</v>
      </c>
      <c r="D5" s="3">
        <f>'Business Interruption'!D5+'Equipment Failure'!D5+'Workers Compensation'!D14+'Cargo Loss'!D14</f>
        <v>140502937.56636986</v>
      </c>
      <c r="E5" s="3">
        <f>'Business Interruption'!E5+'Equipment Failure'!E5+'Workers Compensation'!E14+'Cargo Loss'!E14</f>
        <v>149188262.18885937</v>
      </c>
      <c r="F5" s="3">
        <f>'Business Interruption'!F5+'Equipment Failure'!F5+'Workers Compensation'!F14+'Cargo Loss'!F14</f>
        <v>158035331.78407606</v>
      </c>
      <c r="G5" s="3">
        <f>'Business Interruption'!G5+'Equipment Failure'!G5+'Workers Compensation'!G14+'Cargo Loss'!G14</f>
        <v>167137992.34179926</v>
      </c>
      <c r="H5" s="3">
        <f>'Business Interruption'!H5+'Equipment Failure'!H5+'Workers Compensation'!H14+'Cargo Loss'!H14</f>
        <v>176561032.49182579</v>
      </c>
      <c r="I5" s="3">
        <f>'Business Interruption'!I5+'Equipment Failure'!I5+'Workers Compensation'!I14+'Cargo Loss'!I14</f>
        <v>186351231.33966413</v>
      </c>
      <c r="J5" s="3">
        <f>'Business Interruption'!J5+'Equipment Failure'!J5+'Workers Compensation'!J14+'Cargo Loss'!J14</f>
        <v>196544298.46553677</v>
      </c>
      <c r="K5" s="3">
        <f>'Business Interruption'!K5+'Equipment Failure'!K5+'Workers Compensation'!K14+'Cargo Loss'!K14</f>
        <v>207169241.14982611</v>
      </c>
      <c r="L5" s="3">
        <f>'Business Interruption'!L5+'Equipment Failure'!L5+'Workers Compensation'!L14+'Cargo Loss'!L14</f>
        <v>218251095.36022678</v>
      </c>
      <c r="N5" t="s">
        <v>22</v>
      </c>
      <c r="O5" s="3">
        <f>'Business Interruption'!C24+'Equipment Failure'!C24+'Workers Compensation'!C23+'Cargo Loss'!C23</f>
        <v>131838759.38913561</v>
      </c>
      <c r="P5" s="3">
        <f>'Business Interruption'!D24+'Equipment Failure'!D24+'Workers Compensation'!D23+'Cargo Loss'!D23</f>
        <v>116798679.58763611</v>
      </c>
      <c r="Q5" s="3">
        <f>'Business Interruption'!E24+'Equipment Failure'!E24+'Workers Compensation'!E23+'Cargo Loss'!E23</f>
        <v>100004882.88984956</v>
      </c>
      <c r="R5" s="3">
        <f>'Business Interruption'!F24+'Equipment Failure'!F24+'Workers Compensation'!F23+'Cargo Loss'!F23</f>
        <v>81643261.940896749</v>
      </c>
      <c r="S5" s="3">
        <f>'Business Interruption'!G24+'Equipment Failure'!G24+'Workers Compensation'!G23+'Cargo Loss'!G23</f>
        <v>61789782.922646083</v>
      </c>
      <c r="T5" s="3">
        <f>'Business Interruption'!H24+'Equipment Failure'!H24+'Workers Compensation'!H23+'Cargo Loss'!H23</f>
        <v>40457607.078445524</v>
      </c>
      <c r="U5" s="3">
        <f>'Business Interruption'!I24+'Equipment Failure'!I24+'Workers Compensation'!I23+'Cargo Loss'!I23</f>
        <v>17623740.416668534</v>
      </c>
      <c r="V5" s="3">
        <f>'Business Interruption'!J24+'Equipment Failure'!J24+'Workers Compensation'!J23+'Cargo Loss'!J23</f>
        <v>-6755959.0825245092</v>
      </c>
      <c r="W5" s="3">
        <f>'Business Interruption'!K24+'Equipment Failure'!K24+'Workers Compensation'!K23+'Cargo Loss'!K23</f>
        <v>-32738403.862512589</v>
      </c>
      <c r="X5" s="3">
        <f>'Business Interruption'!L24+'Equipment Failure'!L24+'Workers Compensation'!L23+'Cargo Loss'!L23</f>
        <v>-60388654.187909298</v>
      </c>
      <c r="Z5" t="s">
        <v>22</v>
      </c>
      <c r="AA5" s="3">
        <f>'Business Interruption'!C15+'Equipment Failure'!C15+'Workers Compensation'!C5+'Cargo Loss'!C5</f>
        <v>131838759.38913561</v>
      </c>
      <c r="AB5" s="3">
        <f>'Business Interruption'!D15+'Equipment Failure'!D15+'Workers Compensation'!D5+'Cargo Loss'!D5</f>
        <v>168267893.39753261</v>
      </c>
      <c r="AC5" s="3">
        <f>'Business Interruption'!E15+'Equipment Failure'!E15+'Workers Compensation'!E5+'Cargo Loss'!E5</f>
        <v>206797035.26713753</v>
      </c>
      <c r="AD5" s="3">
        <f>'Business Interruption'!F15+'Equipment Failure'!F15+'Workers Compensation'!F5+'Cargo Loss'!F5</f>
        <v>247513726.58881703</v>
      </c>
      <c r="AE5" s="3">
        <f>'Business Interruption'!G15+'Equipment Failure'!G15+'Workers Compensation'!G5+'Cargo Loss'!G5</f>
        <v>290532752.58949679</v>
      </c>
      <c r="AF5" s="3">
        <f>'Business Interruption'!H15+'Equipment Failure'!H15+'Workers Compensation'!H5+'Cargo Loss'!H5</f>
        <v>335979369.8403613</v>
      </c>
      <c r="AG5" s="3">
        <f>'Business Interruption'!I15+'Equipment Failure'!I15+'Workers Compensation'!I5+'Cargo Loss'!I5</f>
        <v>383982079.43892622</v>
      </c>
      <c r="AH5" s="3">
        <f>'Business Interruption'!J15+'Equipment Failure'!J15+'Workers Compensation'!J5+'Cargo Loss'!J5</f>
        <v>434670117.80137485</v>
      </c>
      <c r="AI5" s="3">
        <f>'Business Interruption'!K15+'Equipment Failure'!K15+'Workers Compensation'!K5+'Cargo Loss'!K5</f>
        <v>488173126.49177861</v>
      </c>
      <c r="AJ5" s="3">
        <f>'Business Interruption'!L15+'Equipment Failure'!L15+'Workers Compensation'!L5+'Cargo Loss'!L5</f>
        <v>544621667.54265308</v>
      </c>
    </row>
    <row r="6" spans="1:36">
      <c r="A6" t="s">
        <v>23</v>
      </c>
      <c r="C6" s="3">
        <f>'Business Interruption'!C6+'Equipment Failure'!C6+'Workers Compensation'!C15+'Cargo Loss'!C15</f>
        <v>14914013713.102694</v>
      </c>
      <c r="D6" s="3">
        <f>'Business Interruption'!D6+'Equipment Failure'!D6+'Workers Compensation'!D15+'Cargo Loss'!D15</f>
        <v>15618833027.888601</v>
      </c>
      <c r="E6" s="3">
        <f>'Business Interruption'!E6+'Equipment Failure'!E6+'Workers Compensation'!E15+'Cargo Loss'!E15</f>
        <v>16352583670.467155</v>
      </c>
      <c r="F6" s="3">
        <f>'Business Interruption'!F6+'Equipment Failure'!F6+'Workers Compensation'!F15+'Cargo Loss'!F15</f>
        <v>17115128310.677334</v>
      </c>
      <c r="G6" s="3">
        <f>'Business Interruption'!G6+'Equipment Failure'!G6+'Workers Compensation'!G15+'Cargo Loss'!G15</f>
        <v>17906738540.858509</v>
      </c>
      <c r="H6" s="3">
        <f>'Business Interruption'!H6+'Equipment Failure'!H6+'Workers Compensation'!H15+'Cargo Loss'!H15</f>
        <v>18727950770.973045</v>
      </c>
      <c r="I6" s="3">
        <f>'Business Interruption'!I6+'Equipment Failure'!I6+'Workers Compensation'!I15+'Cargo Loss'!I15</f>
        <v>19579477190.293194</v>
      </c>
      <c r="J6" s="3">
        <f>'Business Interruption'!J6+'Equipment Failure'!J6+'Workers Compensation'!J15+'Cargo Loss'!J15</f>
        <v>20462150837.157928</v>
      </c>
      <c r="K6" s="3">
        <f>'Business Interruption'!K6+'Equipment Failure'!K6+'Workers Compensation'!K15+'Cargo Loss'!K15</f>
        <v>21376891845.547096</v>
      </c>
      <c r="L6" s="3">
        <f>'Business Interruption'!L6+'Equipment Failure'!L6+'Workers Compensation'!L15+'Cargo Loss'!L15</f>
        <v>22324686828.428802</v>
      </c>
      <c r="N6" t="s">
        <v>23</v>
      </c>
      <c r="O6" s="3">
        <f>'Business Interruption'!C25+'Equipment Failure'!C25+'Workers Compensation'!C24+'Cargo Loss'!C24</f>
        <v>17553645093.674908</v>
      </c>
      <c r="P6" s="3">
        <f>'Business Interruption'!D25+'Equipment Failure'!D25+'Workers Compensation'!D24+'Cargo Loss'!D24</f>
        <v>18383206063.608963</v>
      </c>
      <c r="Q6" s="3">
        <f>'Business Interruption'!E25+'Equipment Failure'!E25+'Workers Compensation'!E24+'Cargo Loss'!E24</f>
        <v>19246818703.86721</v>
      </c>
      <c r="R6" s="3">
        <f>'Business Interruption'!F25+'Equipment Failure'!F25+'Workers Compensation'!F24+'Cargo Loss'!F24</f>
        <v>20144321368.666199</v>
      </c>
      <c r="S6" s="3">
        <f>'Business Interruption'!G25+'Equipment Failure'!G25+'Workers Compensation'!G24+'Cargo Loss'!G24</f>
        <v>21076033710.417053</v>
      </c>
      <c r="T6" s="3">
        <f>'Business Interruption'!H25+'Equipment Failure'!H25+'Workers Compensation'!H24+'Cargo Loss'!H24</f>
        <v>22042587069.338219</v>
      </c>
      <c r="U6" s="3">
        <f>'Business Interruption'!I25+'Equipment Failure'!I25+'Workers Compensation'!I24+'Cargo Loss'!I24</f>
        <v>23044819676.042728</v>
      </c>
      <c r="V6" s="3">
        <f>'Business Interruption'!J25+'Equipment Failure'!J25+'Workers Compensation'!J24+'Cargo Loss'!J24</f>
        <v>24083711999.079338</v>
      </c>
      <c r="W6" s="3">
        <f>'Business Interruption'!K25+'Equipment Failure'!K25+'Workers Compensation'!K24+'Cargo Loss'!K24</f>
        <v>25160347017.426998</v>
      </c>
      <c r="X6" s="3">
        <f>'Business Interruption'!L25+'Equipment Failure'!L25+'Workers Compensation'!L24+'Cargo Loss'!L24</f>
        <v>26275885954.866772</v>
      </c>
      <c r="Z6" t="s">
        <v>23</v>
      </c>
      <c r="AA6" s="3">
        <f>'Business Interruption'!C16+'Equipment Failure'!C16+'Workers Compensation'!C6+'Cargo Loss'!C6</f>
        <v>11822195831.357985</v>
      </c>
      <c r="AB6" s="3">
        <f>'Business Interruption'!D16+'Equipment Failure'!D16+'Workers Compensation'!D6+'Cargo Loss'!D6</f>
        <v>12380909718.235445</v>
      </c>
      <c r="AC6" s="3">
        <f>'Business Interruption'!E16+'Equipment Failure'!E16+'Workers Compensation'!E6+'Cargo Loss'!E6</f>
        <v>12962557703.566387</v>
      </c>
      <c r="AD6" s="3">
        <f>'Business Interruption'!F16+'Equipment Failure'!F16+'Workers Compensation'!F6+'Cargo Loss'!F6</f>
        <v>13567030949.980444</v>
      </c>
      <c r="AE6" s="3">
        <f>'Business Interruption'!G16+'Equipment Failure'!G16+'Workers Compensation'!G6+'Cargo Loss'!G6</f>
        <v>14194544767.861055</v>
      </c>
      <c r="AF6" s="3">
        <f>'Business Interruption'!H16+'Equipment Failure'!H16+'Workers Compensation'!H6+'Cargo Loss'!H6</f>
        <v>14845524385.717434</v>
      </c>
      <c r="AG6" s="3">
        <f>'Business Interruption'!I16+'Equipment Failure'!I16+'Workers Compensation'!I6+'Cargo Loss'!I6</f>
        <v>15520534370.865604</v>
      </c>
      <c r="AH6" s="3">
        <f>'Business Interruption'!J16+'Equipment Failure'!J16+'Workers Compensation'!J6+'Cargo Loss'!J6</f>
        <v>16220235087.018768</v>
      </c>
      <c r="AI6" s="3">
        <f>'Business Interruption'!K16+'Equipment Failure'!K16+'Workers Compensation'!K6+'Cargo Loss'!K6</f>
        <v>16945355938.415257</v>
      </c>
      <c r="AJ6" s="3">
        <f>'Business Interruption'!L16+'Equipment Failure'!L16+'Workers Compensation'!L6+'Cargo Loss'!L6</f>
        <v>17696679027.277077</v>
      </c>
    </row>
    <row r="7" spans="1:36">
      <c r="A7" t="s">
        <v>24</v>
      </c>
      <c r="C7" s="3">
        <f>'Business Interruption'!C7+'Equipment Failure'!C7+'Workers Compensation'!C16+'Cargo Loss'!C16</f>
        <v>146685400.28644127</v>
      </c>
      <c r="D7" s="3">
        <f>'Business Interruption'!D7+'Equipment Failure'!D7+'Workers Compensation'!D16+'Cargo Loss'!D16</f>
        <v>305805340.32886338</v>
      </c>
      <c r="E7" s="3">
        <f>'Business Interruption'!E7+'Equipment Failure'!E7+'Workers Compensation'!E16+'Cargo Loss'!E16</f>
        <v>478400932.26968098</v>
      </c>
      <c r="F7" s="3">
        <f>'Business Interruption'!F7+'Equipment Failure'!F7+'Workers Compensation'!F16+'Cargo Loss'!F16</f>
        <v>665401250.18863142</v>
      </c>
      <c r="G7" s="3">
        <f>'Business Interruption'!G7+'Equipment Failure'!G7+'Workers Compensation'!G16+'Cargo Loss'!G16</f>
        <v>867679680.09277952</v>
      </c>
      <c r="H7" s="3">
        <f>'Business Interruption'!H7+'Equipment Failure'!H7+'Workers Compensation'!H16+'Cargo Loss'!H16</f>
        <v>1086088426.3816271</v>
      </c>
      <c r="I7" s="3">
        <f>'Business Interruption'!I7+'Equipment Failure'!I7+'Workers Compensation'!I16+'Cargo Loss'!I16</f>
        <v>1321479800.2202239</v>
      </c>
      <c r="J7" s="3">
        <f>'Business Interruption'!J7+'Equipment Failure'!J7+'Workers Compensation'!J16+'Cargo Loss'!J16</f>
        <v>1574719601.6538255</v>
      </c>
      <c r="K7" s="3">
        <f>'Business Interruption'!K7+'Equipment Failure'!K7+'Workers Compensation'!K16+'Cargo Loss'!K16</f>
        <v>1846695672.4869981</v>
      </c>
      <c r="L7" s="3">
        <f>'Business Interruption'!L7+'Equipment Failure'!L7+'Workers Compensation'!L16+'Cargo Loss'!L16</f>
        <v>2138323618.0321448</v>
      </c>
      <c r="N7" t="s">
        <v>24</v>
      </c>
      <c r="O7" s="3">
        <f>'Business Interruption'!C26+'Equipment Failure'!C26+'Workers Compensation'!C25+'Cargo Loss'!C25</f>
        <v>-2492945980.2857733</v>
      </c>
      <c r="P7" s="3">
        <f>'Business Interruption'!D26+'Equipment Failure'!D26+'Workers Compensation'!D25+'Cargo Loss'!D25</f>
        <v>-5145214271.1611748</v>
      </c>
      <c r="Q7" s="3">
        <f>'Business Interruption'!E26+'Equipment Failure'!E26+'Workers Compensation'!E25+'Cargo Loss'!E25</f>
        <v>-7964559500.480298</v>
      </c>
      <c r="R7" s="3">
        <f>'Business Interruption'!F26+'Equipment Failure'!F26+'Workers Compensation'!F25+'Cargo Loss'!F25</f>
        <v>-10958651202.395758</v>
      </c>
      <c r="S7" s="3">
        <f>'Business Interruption'!G26+'Equipment Failure'!G26+'Workers Compensation'!G25+'Cargo Loss'!G25</f>
        <v>-14135258545.431229</v>
      </c>
      <c r="T7" s="3">
        <f>'Business Interruption'!H26+'Equipment Failure'!H26+'Workers Compensation'!H25+'Cargo Loss'!H25</f>
        <v>-17502351881.709225</v>
      </c>
      <c r="U7" s="3">
        <f>'Business Interruption'!I26+'Equipment Failure'!I26+'Workers Compensation'!I25+'Cargo Loss'!I25</f>
        <v>-21068159592.754299</v>
      </c>
      <c r="V7" s="3">
        <f>'Business Interruption'!J26+'Equipment Failure'!J26+'Workers Compensation'!J25+'Cargo Loss'!J25</f>
        <v>-24841201258.008984</v>
      </c>
      <c r="W7" s="3">
        <f>'Business Interruption'!K26+'Equipment Failure'!K26+'Workers Compensation'!K25+'Cargo Loss'!K25</f>
        <v>-28830308750.558754</v>
      </c>
      <c r="X7" s="3">
        <f>'Business Interruption'!L26+'Equipment Failure'!L26+'Workers Compensation'!L25+'Cargo Loss'!L25</f>
        <v>-33044641345.570564</v>
      </c>
      <c r="Z7" t="s">
        <v>24</v>
      </c>
      <c r="AA7" s="3">
        <f>'Business Interruption'!C17+'Equipment Failure'!C17+'Workers Compensation'!C7+'Cargo Loss'!C7</f>
        <v>3238503282.0311499</v>
      </c>
      <c r="AB7" s="3">
        <f>'Business Interruption'!D17+'Equipment Failure'!D17+'Workers Compensation'!D7+'Cargo Loss'!D7</f>
        <v>6690615744.1535501</v>
      </c>
      <c r="AC7" s="3">
        <f>'Business Interruption'!E17+'Equipment Failure'!E17+'Workers Compensation'!E7+'Cargo Loss'!E7</f>
        <v>10367680650.351057</v>
      </c>
      <c r="AD7" s="3">
        <f>'Business Interruption'!F17+'Equipment Failure'!F17+'Workers Compensation'!F7+'Cargo Loss'!F7</f>
        <v>14280698305.560644</v>
      </c>
      <c r="AE7" s="3">
        <f>'Business Interruption'!G17+'Equipment Failure'!G17+'Workers Compensation'!G7+'Cargo Loss'!G7</f>
        <v>18440664783.087067</v>
      </c>
      <c r="AF7" s="3">
        <f>'Business Interruption'!H17+'Equipment Failure'!H17+'Workers Compensation'!H7+'Cargo Loss'!H7</f>
        <v>22858765794.096981</v>
      </c>
      <c r="AG7" s="3">
        <f>'Business Interruption'!I17+'Equipment Failure'!I17+'Workers Compensation'!I7+'Cargo Loss'!I7</f>
        <v>27546489494.689537</v>
      </c>
      <c r="AH7" s="3">
        <f>'Business Interruption'!J17+'Equipment Failure'!J17+'Workers Compensation'!J7+'Cargo Loss'!J7</f>
        <v>32515694392.469727</v>
      </c>
      <c r="AI7" s="3">
        <f>'Business Interruption'!K17+'Equipment Failure'!K17+'Workers Compensation'!K7+'Cargo Loss'!K7</f>
        <v>37778652626.326584</v>
      </c>
      <c r="AJ7" s="3">
        <f>'Business Interruption'!L17+'Equipment Failure'!L17+'Workers Compensation'!L7+'Cargo Loss'!L7</f>
        <v>43348080085.958748</v>
      </c>
    </row>
    <row r="8" spans="1:36">
      <c r="A8" t="s">
        <v>25</v>
      </c>
      <c r="C8" s="3">
        <f>'Business Interruption'!C8+'Equipment Failure'!C8+'Workers Compensation'!C17+'Cargo Loss'!C17</f>
        <v>1295398.3583269019</v>
      </c>
      <c r="D8" s="3">
        <f>'Business Interruption'!D8+'Equipment Failure'!D8+'Workers Compensation'!D17+'Cargo Loss'!D17</f>
        <v>2722135.0721720471</v>
      </c>
      <c r="E8" s="3">
        <f>'Business Interruption'!E8+'Equipment Failure'!E8+'Workers Compensation'!E17+'Cargo Loss'!E17</f>
        <v>4278424.3529794486</v>
      </c>
      <c r="F8" s="3">
        <f>'Business Interruption'!F8+'Equipment Failure'!F8+'Workers Compensation'!F17+'Cargo Loss'!F17</f>
        <v>5967197.7176512275</v>
      </c>
      <c r="G8" s="3">
        <f>'Business Interruption'!G8+'Equipment Failure'!G8+'Workers Compensation'!G17+'Cargo Loss'!G17</f>
        <v>7793844.0193695752</v>
      </c>
      <c r="H8" s="3">
        <f>'Business Interruption'!H8+'Equipment Failure'!H8+'Workers Compensation'!H17+'Cargo Loss'!H17</f>
        <v>9765046.8318522871</v>
      </c>
      <c r="I8" s="3">
        <f>'Business Interruption'!I8+'Equipment Failure'!I8+'Workers Compensation'!I17+'Cargo Loss'!I17</f>
        <v>11888200.56845507</v>
      </c>
      <c r="J8" s="3">
        <f>'Business Interruption'!J8+'Equipment Failure'!J8+'Workers Compensation'!J17+'Cargo Loss'!J17</f>
        <v>14171132.674398534</v>
      </c>
      <c r="K8" s="3">
        <f>'Business Interruption'!K8+'Equipment Failure'!K8+'Workers Compensation'!K17+'Cargo Loss'!K17</f>
        <v>16621984.207161741</v>
      </c>
      <c r="L8" s="3">
        <f>'Business Interruption'!L8+'Equipment Failure'!L8+'Workers Compensation'!L17+'Cargo Loss'!L17</f>
        <v>19249169.072448261</v>
      </c>
      <c r="N8" t="s">
        <v>25</v>
      </c>
      <c r="O8" s="3">
        <f>'Business Interruption'!C27+'Equipment Failure'!C27+'Workers Compensation'!C26+'Cargo Loss'!C26</f>
        <v>-22015538.860402476</v>
      </c>
      <c r="P8" s="3">
        <f>'Business Interruption'!D27+'Equipment Failure'!D27+'Workers Compensation'!D26+'Cargo Loss'!D26</f>
        <v>-45800273.488703422</v>
      </c>
      <c r="Q8" s="3">
        <f>'Business Interruption'!E27+'Equipment Failure'!E27+'Workers Compensation'!E26+'Cargo Loss'!E26</f>
        <v>-71228467.64938949</v>
      </c>
      <c r="R8" s="3">
        <f>'Business Interruption'!F27+'Equipment Failure'!F27+'Workers Compensation'!F26+'Cargo Loss'!F26</f>
        <v>-98275196.244272232</v>
      </c>
      <c r="S8" s="3">
        <f>'Business Interruption'!G27+'Equipment Failure'!G27+'Workers Compensation'!G26+'Cargo Loss'!G26</f>
        <v>-126968514.76891999</v>
      </c>
      <c r="T8" s="3">
        <f>'Business Interruption'!H27+'Equipment Failure'!H27+'Workers Compensation'!H26+'Cargo Loss'!H26</f>
        <v>-157364061.37928423</v>
      </c>
      <c r="U8" s="3">
        <f>'Business Interruption'!I27+'Equipment Failure'!I27+'Workers Compensation'!I26+'Cargo Loss'!I26</f>
        <v>-189531846.65035695</v>
      </c>
      <c r="V8" s="3">
        <f>'Business Interruption'!J27+'Equipment Failure'!J27+'Workers Compensation'!J26+'Cargo Loss'!J26</f>
        <v>-223549613.81630671</v>
      </c>
      <c r="W8" s="3">
        <f>'Business Interruption'!K27+'Equipment Failure'!K27+'Workers Compensation'!K26+'Cargo Loss'!K26</f>
        <v>-259499680.36368945</v>
      </c>
      <c r="X8" s="3">
        <f>'Business Interruption'!L27+'Equipment Failure'!L27+'Workers Compensation'!L26+'Cargo Loss'!L26</f>
        <v>-297467550.20396543</v>
      </c>
      <c r="Z8" t="s">
        <v>25</v>
      </c>
      <c r="AA8" s="3">
        <f>'Business Interruption'!C18+'Equipment Failure'!C18+'Workers Compensation'!C8+'Cargo Loss'!C8</f>
        <v>28599654.953985296</v>
      </c>
      <c r="AB8" s="3">
        <f>'Business Interruption'!D18+'Equipment Failure'!D18+'Workers Compensation'!D8+'Cargo Loss'!D8</f>
        <v>59556709.349813297</v>
      </c>
      <c r="AC8" s="3">
        <f>'Business Interruption'!E18+'Equipment Failure'!E18+'Workers Compensation'!E8+'Cargo Loss'!E8</f>
        <v>92720006.141984165</v>
      </c>
      <c r="AD8" s="3">
        <f>'Business Interruption'!F18+'Equipment Failure'!F18+'Workers Compensation'!F8+'Cargo Loss'!F8</f>
        <v>128066712.09476961</v>
      </c>
      <c r="AE8" s="3">
        <f>'Business Interruption'!G18+'Equipment Failure'!G18+'Workers Compensation'!G8+'Cargo Loss'!G8</f>
        <v>165641386.13629186</v>
      </c>
      <c r="AF8" s="3">
        <f>'Business Interruption'!H18+'Equipment Failure'!H18+'Workers Compensation'!H8+'Cargo Loss'!H8</f>
        <v>205523706.05896389</v>
      </c>
      <c r="AG8" s="3">
        <f>'Business Interruption'!I18+'Equipment Failure'!I18+'Workers Compensation'!I8+'Cargo Loss'!I8</f>
        <v>247811727.44005299</v>
      </c>
      <c r="AH8" s="3">
        <f>'Business Interruption'!J18+'Equipment Failure'!J18+'Workers Compensation'!J8+'Cargo Loss'!J8</f>
        <v>292613503.22429037</v>
      </c>
      <c r="AI8" s="3">
        <f>'Business Interruption'!K18+'Equipment Failure'!K18+'Workers Compensation'!K8+'Cargo Loss'!K8</f>
        <v>340043124.96003371</v>
      </c>
      <c r="AJ8" s="3">
        <f>'Business Interruption'!L18+'Equipment Failure'!L18+'Workers Compensation'!L8+'Cargo Loss'!L8</f>
        <v>390219008.71512711</v>
      </c>
    </row>
    <row r="9" spans="1:36">
      <c r="A9" t="s">
        <v>26</v>
      </c>
      <c r="C9" s="13">
        <f>'Business Interruption'!C9+'Equipment Failure'!C9+'Workers Compensation'!C18+'Cargo Loss'!C18</f>
        <v>147980798.64476815</v>
      </c>
      <c r="D9" s="3">
        <f>'Business Interruption'!D9+'Equipment Failure'!D9+'Workers Compensation'!D18+'Cargo Loss'!D18</f>
        <v>308527475.40103543</v>
      </c>
      <c r="E9" s="13">
        <f>'Business Interruption'!E9+'Equipment Failure'!E9+'Workers Compensation'!E18+'Cargo Loss'!E18</f>
        <v>482679356.6226604</v>
      </c>
      <c r="F9" s="3">
        <f>'Business Interruption'!F9+'Equipment Failure'!F9+'Workers Compensation'!F18+'Cargo Loss'!F18</f>
        <v>671368447.90628266</v>
      </c>
      <c r="G9" s="3">
        <f>'Business Interruption'!G9+'Equipment Failure'!G9+'Workers Compensation'!G18+'Cargo Loss'!G18</f>
        <v>875473524.11214912</v>
      </c>
      <c r="H9" s="3">
        <f>'Business Interruption'!H9+'Equipment Failure'!H9+'Workers Compensation'!H18+'Cargo Loss'!H18</f>
        <v>1095853473.2134795</v>
      </c>
      <c r="I9" s="3">
        <f>'Business Interruption'!I9+'Equipment Failure'!I9+'Workers Compensation'!I18+'Cargo Loss'!I18</f>
        <v>1333368000.7886789</v>
      </c>
      <c r="J9" s="3">
        <f>'Business Interruption'!J9+'Equipment Failure'!J9+'Workers Compensation'!J18+'Cargo Loss'!J18</f>
        <v>1588890734.3282242</v>
      </c>
      <c r="K9" s="3">
        <f>'Business Interruption'!K9+'Equipment Failure'!K9+'Workers Compensation'!K18+'Cargo Loss'!K18</f>
        <v>1863317656.69416</v>
      </c>
      <c r="L9" s="13">
        <f>'Business Interruption'!L9+'Equipment Failure'!L9+'Workers Compensation'!L18+'Cargo Loss'!L18</f>
        <v>2157572787.1045928</v>
      </c>
      <c r="N9" t="s">
        <v>26</v>
      </c>
      <c r="O9" s="13">
        <f>'Business Interruption'!C28+'Equipment Failure'!C28+'Workers Compensation'!C27+'Cargo Loss'!C27</f>
        <v>-2514961519.1461759</v>
      </c>
      <c r="P9" s="3">
        <f>'Business Interruption'!D28+'Equipment Failure'!D28+'Workers Compensation'!D27+'Cargo Loss'!D27</f>
        <v>-5191014544.6498785</v>
      </c>
      <c r="Q9" s="13">
        <f>'Business Interruption'!E28+'Equipment Failure'!E28+'Workers Compensation'!E27+'Cargo Loss'!E27</f>
        <v>-8035787968.1296873</v>
      </c>
      <c r="R9" s="3">
        <f>'Business Interruption'!F28+'Equipment Failure'!F28+'Workers Compensation'!F27+'Cargo Loss'!F27</f>
        <v>-11056926398.64003</v>
      </c>
      <c r="S9" s="3">
        <f>'Business Interruption'!G28+'Equipment Failure'!G28+'Workers Compensation'!G27+'Cargo Loss'!G27</f>
        <v>-14262227060.200148</v>
      </c>
      <c r="T9" s="3">
        <f>'Business Interruption'!H28+'Equipment Failure'!H28+'Workers Compensation'!H27+'Cargo Loss'!H27</f>
        <v>-17659715943.088509</v>
      </c>
      <c r="U9" s="3">
        <f>'Business Interruption'!I28+'Equipment Failure'!I28+'Workers Compensation'!I27+'Cargo Loss'!I27</f>
        <v>-21257691439.404655</v>
      </c>
      <c r="V9" s="3">
        <f>'Business Interruption'!J28+'Equipment Failure'!J28+'Workers Compensation'!J27+'Cargo Loss'!J27</f>
        <v>-25064750871.825291</v>
      </c>
      <c r="W9" s="3">
        <f>'Business Interruption'!K28+'Equipment Failure'!K28+'Workers Compensation'!K27+'Cargo Loss'!K27</f>
        <v>-29089808430.922443</v>
      </c>
      <c r="X9" s="13">
        <f>'Business Interruption'!L28+'Equipment Failure'!L28+'Workers Compensation'!L27+'Cargo Loss'!L27</f>
        <v>-33342108895.774529</v>
      </c>
      <c r="Z9" t="s">
        <v>26</v>
      </c>
      <c r="AA9" s="13">
        <f>'Business Interruption'!C19+'Equipment Failure'!C19+'Workers Compensation'!C9+'Cargo Loss'!C9</f>
        <v>3267102936.9851351</v>
      </c>
      <c r="AB9" s="3">
        <f>'Business Interruption'!D19+'Equipment Failure'!D19+'Workers Compensation'!D9+'Cargo Loss'!D9</f>
        <v>6750172453.5033627</v>
      </c>
      <c r="AC9" s="13">
        <f>'Business Interruption'!E19+'Equipment Failure'!E19+'Workers Compensation'!E9+'Cargo Loss'!E9</f>
        <v>10460400656.493042</v>
      </c>
      <c r="AD9" s="3">
        <f>'Business Interruption'!F19+'Equipment Failure'!F19+'Workers Compensation'!F9+'Cargo Loss'!F9</f>
        <v>14408765017.655415</v>
      </c>
      <c r="AE9" s="3">
        <f>'Business Interruption'!G19+'Equipment Failure'!G19+'Workers Compensation'!G9+'Cargo Loss'!G9</f>
        <v>18606306169.223358</v>
      </c>
      <c r="AF9" s="3">
        <f>'Business Interruption'!H19+'Equipment Failure'!H19+'Workers Compensation'!H9+'Cargo Loss'!H9</f>
        <v>23064289500.155945</v>
      </c>
      <c r="AG9" s="3">
        <f>'Business Interruption'!I19+'Equipment Failure'!I19+'Workers Compensation'!I9+'Cargo Loss'!I9</f>
        <v>27794301222.129589</v>
      </c>
      <c r="AH9" s="3">
        <f>'Business Interruption'!J19+'Equipment Failure'!J19+'Workers Compensation'!J9+'Cargo Loss'!J9</f>
        <v>32808307895.694019</v>
      </c>
      <c r="AI9" s="3">
        <f>'Business Interruption'!K19+'Equipment Failure'!K19+'Workers Compensation'!K9+'Cargo Loss'!K9</f>
        <v>38118695751.286613</v>
      </c>
      <c r="AJ9" s="13">
        <f>'Business Interruption'!L19+'Equipment Failure'!L19+'Workers Compensation'!L9+'Cargo Loss'!L9</f>
        <v>43738299094.673874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2ED7-DAA2-4C40-8E81-029EA173FF0F}">
  <dimension ref="A1:L28"/>
  <sheetViews>
    <sheetView workbookViewId="0">
      <selection activeCell="C6" sqref="C6:D6"/>
    </sheetView>
  </sheetViews>
  <sheetFormatPr defaultRowHeight="14.45"/>
  <cols>
    <col min="1" max="1" width="34.140625" bestFit="1" customWidth="1"/>
    <col min="2" max="2" width="40.140625" bestFit="1" customWidth="1"/>
    <col min="3" max="5" width="16" bestFit="1" customWidth="1"/>
    <col min="6" max="12" width="17.7109375" bestFit="1" customWidth="1"/>
    <col min="13" max="13" width="11.42578125" bestFit="1" customWidth="1"/>
  </cols>
  <sheetData>
    <row r="1" spans="1:12">
      <c r="A1" s="1" t="s">
        <v>11</v>
      </c>
    </row>
    <row r="2" spans="1:12">
      <c r="A2" s="2"/>
      <c r="B2" s="2" t="s">
        <v>17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>
      <c r="B3" t="s">
        <v>20</v>
      </c>
      <c r="C3" s="3">
        <v>0</v>
      </c>
      <c r="D3" s="3">
        <f>C9</f>
        <v>167518.29081493849</v>
      </c>
      <c r="E3" s="3">
        <f t="shared" ref="E3:L3" si="0">D9</f>
        <v>345726.93448905495</v>
      </c>
      <c r="F3" s="3">
        <f t="shared" si="0"/>
        <v>535307.21796287841</v>
      </c>
      <c r="G3" s="3">
        <f t="shared" si="0"/>
        <v>736886.60709242546</v>
      </c>
      <c r="H3" s="3">
        <f t="shared" si="0"/>
        <v>951069.19212248409</v>
      </c>
      <c r="I3" s="3">
        <f t="shared" si="0"/>
        <v>1178454.0003910437</v>
      </c>
      <c r="J3" s="3">
        <f t="shared" si="0"/>
        <v>1419646.118435496</v>
      </c>
      <c r="K3" s="3">
        <f t="shared" si="0"/>
        <v>1675263.5978210419</v>
      </c>
      <c r="L3" s="3">
        <f t="shared" si="0"/>
        <v>1945941.8505426974</v>
      </c>
    </row>
    <row r="4" spans="1:12" ht="15">
      <c r="B4" t="s">
        <v>21</v>
      </c>
      <c r="C4" s="4">
        <v>6290203</v>
      </c>
      <c r="D4" s="3">
        <f>$C4*_xlfn.XLOOKUP(D2,'Interest, etc. BI and EF'!$A$2:$A$11,'Interest, etc. BI and EF'!$I$2:$I$11)</f>
        <v>6592754.9446077254</v>
      </c>
      <c r="E4" s="3">
        <f>$C4*_xlfn.XLOOKUP(E2,'Interest, etc. BI and EF'!$A$2:$A$11,'Interest, etc. BI and EF'!$I$2:$I$11)</f>
        <v>6908094.7532939482</v>
      </c>
      <c r="F4" s="3">
        <f>$C4*_xlfn.XLOOKUP(F2,'Interest, etc. BI and EF'!$A$2:$A$11,'Interest, etc. BI and EF'!$I$2:$I$11)</f>
        <v>7236069.2973394571</v>
      </c>
      <c r="G4" s="3">
        <f>$C4*_xlfn.XLOOKUP(G2,'Interest, etc. BI and EF'!$A$2:$A$11,'Interest, etc. BI and EF'!$I$2:$I$11)</f>
        <v>7576738.4690199438</v>
      </c>
      <c r="H4" s="3">
        <f>$C4*_xlfn.XLOOKUP(H2,'Interest, etc. BI and EF'!$A$2:$A$11,'Interest, etc. BI and EF'!$I$2:$I$11)</f>
        <v>7930299.2649468808</v>
      </c>
      <c r="I4" s="3">
        <f>$C4*_xlfn.XLOOKUP(I2,'Interest, etc. BI and EF'!$A$2:$A$11,'Interest, etc. BI and EF'!$I$2:$I$11)</f>
        <v>8297038.807863242</v>
      </c>
      <c r="J4" s="3">
        <f>$C4*_xlfn.XLOOKUP(J2,'Interest, etc. BI and EF'!$A$2:$A$11,'Interest, etc. BI and EF'!$I$2:$I$11)</f>
        <v>8677305.3376705237</v>
      </c>
      <c r="K4" s="3">
        <f>$C4*_xlfn.XLOOKUP(K2,'Interest, etc. BI and EF'!$A$2:$A$11,'Interest, etc. BI and EF'!$I$2:$I$11)</f>
        <v>9071490.3091375679</v>
      </c>
      <c r="L4" s="3">
        <f>$C4*_xlfn.XLOOKUP(L2,'Interest, etc. BI and EF'!$A$2:$A$11,'Interest, etc. BI and EF'!$I$2:$I$11)</f>
        <v>9480017.4543374535</v>
      </c>
    </row>
    <row r="5" spans="1:12">
      <c r="A5" t="s">
        <v>27</v>
      </c>
      <c r="B5" t="s">
        <v>28</v>
      </c>
      <c r="C5" s="3">
        <f>(C3+C4)*((1+_xlfn.XLOOKUP(C$2,'Interest, etc. BI and EF'!$A$2:$A$11,'Interest, etc. BI and EF'!$C$2:$C$11))^(1/2)-1)</f>
        <v>55549.62268795156</v>
      </c>
      <c r="D5" s="3">
        <f>(D3+D4)*((1+_xlfn.XLOOKUP(D$2,'Interest, etc. BI and EF'!$A$2:$A$11,'Interest, etc. BI and EF'!$C$2:$C$11))^(1/2)-1)</f>
        <v>60176.767520868314</v>
      </c>
      <c r="E5" s="3">
        <f>(E3+E4)*((1+_xlfn.XLOOKUP(E$2,'Interest, etc. BI and EF'!$A$2:$A$11,'Interest, etc. BI and EF'!$C$2:$C$11))^(1/2)-1)</f>
        <v>64872.213383745009</v>
      </c>
      <c r="F5" s="3">
        <f>(F3+F4)*((1+_xlfn.XLOOKUP(F$2,'Interest, etc. BI and EF'!$A$2:$A$11,'Interest, etc. BI and EF'!$C$2:$C$11))^(1/2)-1)</f>
        <v>69692.294975361539</v>
      </c>
      <c r="G5" s="3">
        <f>(G3+G4)*((1+_xlfn.XLOOKUP(G$2,'Interest, etc. BI and EF'!$A$2:$A$11,'Interest, etc. BI and EF'!$C$2:$C$11))^(1/2)-1)</f>
        <v>74676.287304332029</v>
      </c>
      <c r="H5" s="3">
        <f>(H3+H4)*((1+_xlfn.XLOOKUP(H$2,'Interest, etc. BI and EF'!$A$2:$A$11,'Interest, etc. BI and EF'!$C$2:$C$11))^(1/2)-1)</f>
        <v>79852.594694480358</v>
      </c>
      <c r="I5" s="3">
        <f>(I3+I4)*((1+_xlfn.XLOOKUP(I$2,'Interest, etc. BI and EF'!$A$2:$A$11,'Interest, etc. BI and EF'!$C$2:$C$11))^(1/2)-1)</f>
        <v>85242.739972800235</v>
      </c>
      <c r="J5" s="3">
        <f>(J3+J4)*((1+_xlfn.XLOOKUP(J$2,'Interest, etc. BI and EF'!$A$2:$A$11,'Interest, etc. BI and EF'!$C$2:$C$11))^(1/2)-1)</f>
        <v>90863.947169494015</v>
      </c>
      <c r="K5" s="3">
        <f>(K3+K4)*((1+_xlfn.XLOOKUP(K$2,'Interest, etc. BI and EF'!$A$2:$A$11,'Interest, etc. BI and EF'!$C$2:$C$11))^(1/2)-1)</f>
        <v>96730.81297642854</v>
      </c>
      <c r="L5" s="3">
        <f>(L3+L4)*((1+_xlfn.XLOOKUP(L$2,'Interest, etc. BI and EF'!$A$2:$A$11,'Interest, etc. BI and EF'!$C$2:$C$11))^(1/2)-1)</f>
        <v>102856.3780616883</v>
      </c>
    </row>
    <row r="6" spans="1:12">
      <c r="A6" t="s">
        <v>29</v>
      </c>
      <c r="B6" t="s">
        <v>23</v>
      </c>
      <c r="C6" s="4">
        <f>6105802*_xlfn.XLOOKUP(C12,'Interest, etc. BI and EF'!$A$2:$A$11,'Interest, etc. BI and EF'!$L$2:$L$11)</f>
        <v>6179700.7580641052</v>
      </c>
      <c r="D6" s="5">
        <f>$C6*_xlfn.XLOOKUP(D2,'Interest, etc. BI and EF'!$A$2:$A$11,'Interest, etc. BI and EF'!$L$2:$L$11)/_xlfn.XLOOKUP($C2,'Interest, etc. BI and EF'!$A$2:$A$11,'Interest, etc. BI and EF'!$L$2:$L$11)</f>
        <v>6477773.4140113639</v>
      </c>
      <c r="E6" s="5">
        <f>$C6*_xlfn.XLOOKUP(E2,'Interest, etc. BI and EF'!$A$2:$A$11,'Interest, etc. BI and EF'!$L$2:$L$11)/_xlfn.XLOOKUP($C2,'Interest, etc. BI and EF'!$A$2:$A$11,'Interest, etc. BI and EF'!$L$2:$L$11)</f>
        <v>6788131.5959626902</v>
      </c>
      <c r="F6" s="5">
        <f>$C6*_xlfn.XLOOKUP(F2,'Interest, etc. BI and EF'!$A$2:$A$11,'Interest, etc. BI and EF'!$L$2:$L$11)/_xlfn.XLOOKUP($C2,'Interest, etc. BI and EF'!$A$2:$A$11,'Interest, etc. BI and EF'!$L$2:$L$11)</f>
        <v>7110731.7336163232</v>
      </c>
      <c r="G6" s="5">
        <f>$C6*_xlfn.XLOOKUP(G2,'Interest, etc. BI and EF'!$A$2:$A$11,'Interest, etc. BI and EF'!$L$2:$L$11)/_xlfn.XLOOKUP($C2,'Interest, etc. BI and EF'!$A$2:$A$11,'Interest, etc. BI and EF'!$L$2:$L$11)</f>
        <v>7445699.0006509908</v>
      </c>
      <c r="H6" s="5">
        <f>$C6*_xlfn.XLOOKUP(H2,'Interest, etc. BI and EF'!$A$2:$A$11,'Interest, etc. BI and EF'!$L$2:$L$11)/_xlfn.XLOOKUP($C2,'Interest, etc. BI and EF'!$A$2:$A$11,'Interest, etc. BI and EF'!$L$2:$L$11)</f>
        <v>7793268.1437033825</v>
      </c>
      <c r="I6" s="5">
        <f>$C6*_xlfn.XLOOKUP(I2,'Interest, etc. BI and EF'!$A$2:$A$11,'Interest, etc. BI and EF'!$L$2:$L$11)/_xlfn.XLOOKUP($C2,'Interest, etc. BI and EF'!$A$2:$A$11,'Interest, etc. BI and EF'!$L$2:$L$11)</f>
        <v>8153746.8790345658</v>
      </c>
      <c r="J6" s="5">
        <f>$C6*_xlfn.XLOOKUP(J2,'Interest, etc. BI and EF'!$A$2:$A$11,'Interest, etc. BI and EF'!$L$2:$L$11)/_xlfn.XLOOKUP($C2,'Interest, etc. BI and EF'!$A$2:$A$11,'Interest, etc. BI and EF'!$L$2:$L$11)</f>
        <v>8527493.2877077181</v>
      </c>
      <c r="K6" s="5">
        <f>$C6*_xlfn.XLOOKUP(K2,'Interest, etc. BI and EF'!$A$2:$A$11,'Interest, etc. BI and EF'!$L$2:$L$11)/_xlfn.XLOOKUP($C2,'Interest, etc. BI and EF'!$A$2:$A$11,'Interest, etc. BI and EF'!$L$2:$L$11)</f>
        <v>8914901.9142076857</v>
      </c>
      <c r="L6" s="5">
        <f>$C6*_xlfn.XLOOKUP(L2,'Interest, etc. BI and EF'!$A$2:$A$11,'Interest, etc. BI and EF'!$L$2:$L$11)/_xlfn.XLOOKUP($C2,'Interest, etc. BI and EF'!$A$2:$A$11,'Interest, etc. BI and EF'!$L$2:$L$11)</f>
        <v>9316395.2712514717</v>
      </c>
    </row>
    <row r="7" spans="1:12">
      <c r="B7" t="s">
        <v>24</v>
      </c>
      <c r="C7" s="3">
        <f>C3+C4+C5-C6</f>
        <v>166051.86462384649</v>
      </c>
      <c r="D7" s="3">
        <f t="shared" ref="D7:L7" si="1">D3+D4+D5-D6</f>
        <v>342676.58893216774</v>
      </c>
      <c r="E7" s="3">
        <f t="shared" si="1"/>
        <v>530562.30520405807</v>
      </c>
      <c r="F7" s="3">
        <f t="shared" si="1"/>
        <v>730337.07666137442</v>
      </c>
      <c r="G7" s="3">
        <f t="shared" si="1"/>
        <v>942602.3627657108</v>
      </c>
      <c r="H7" s="3">
        <f t="shared" si="1"/>
        <v>1167952.9080604631</v>
      </c>
      <c r="I7" s="3">
        <f t="shared" si="1"/>
        <v>1406988.6691925209</v>
      </c>
      <c r="J7" s="3">
        <f t="shared" si="1"/>
        <v>1660322.1155677959</v>
      </c>
      <c r="K7" s="3">
        <f t="shared" si="1"/>
        <v>1928582.8057273533</v>
      </c>
      <c r="L7" s="3">
        <f t="shared" si="1"/>
        <v>2212420.4116903674</v>
      </c>
    </row>
    <row r="8" spans="1:12">
      <c r="B8" t="s">
        <v>25</v>
      </c>
      <c r="C8" s="3">
        <f>C7*((1+_xlfn.XLOOKUP(C$2,'Interest, etc. BI and EF'!$A$2:$A$11,'Interest, etc. BI and EF'!$C$2:$C$11))^(1/2)-1)</f>
        <v>1466.426191092002</v>
      </c>
      <c r="D8" s="3">
        <f>D7*((1+_xlfn.XLOOKUP(D$2,'Interest, etc. BI and EF'!$A$2:$A$11,'Interest, etc. BI and EF'!$C$2:$C$11))^(1/2)-1)</f>
        <v>3050.345556887235</v>
      </c>
      <c r="E8" s="3">
        <f>E7*((1+_xlfn.XLOOKUP(E$2,'Interest, etc. BI and EF'!$A$2:$A$11,'Interest, etc. BI and EF'!$C$2:$C$11))^(1/2)-1)</f>
        <v>4744.9127588203446</v>
      </c>
      <c r="F8" s="3">
        <f>F7*((1+_xlfn.XLOOKUP(F$2,'Interest, etc. BI and EF'!$A$2:$A$11,'Interest, etc. BI and EF'!$C$2:$C$11))^(1/2)-1)</f>
        <v>6549.5304310510019</v>
      </c>
      <c r="G8" s="3">
        <f>G7*((1+_xlfn.XLOOKUP(G$2,'Interest, etc. BI and EF'!$A$2:$A$11,'Interest, etc. BI and EF'!$C$2:$C$11))^(1/2)-1)</f>
        <v>8466.8293567732471</v>
      </c>
      <c r="H8" s="3">
        <f>H7*((1+_xlfn.XLOOKUP(H$2,'Interest, etc. BI and EF'!$A$2:$A$11,'Interest, etc. BI and EF'!$C$2:$C$11))^(1/2)-1)</f>
        <v>10501.092330580632</v>
      </c>
      <c r="I8" s="3">
        <f>I7*((1+_xlfn.XLOOKUP(I$2,'Interest, etc. BI and EF'!$A$2:$A$11,'Interest, etc. BI and EF'!$C$2:$C$11))^(1/2)-1)</f>
        <v>12657.449242975108</v>
      </c>
      <c r="J8" s="3">
        <f>J7*((1+_xlfn.XLOOKUP(J$2,'Interest, etc. BI and EF'!$A$2:$A$11,'Interest, etc. BI and EF'!$C$2:$C$11))^(1/2)-1)</f>
        <v>14941.482253246029</v>
      </c>
      <c r="K8" s="3">
        <f>K7*((1+_xlfn.XLOOKUP(K$2,'Interest, etc. BI and EF'!$A$2:$A$11,'Interest, etc. BI and EF'!$C$2:$C$11))^(1/2)-1)</f>
        <v>17359.044815344063</v>
      </c>
      <c r="L8" s="3">
        <f>L7*((1+_xlfn.XLOOKUP(L$2,'Interest, etc. BI and EF'!$A$2:$A$11,'Interest, etc. BI and EF'!$C$2:$C$11))^(1/2)-1)</f>
        <v>19916.187711173319</v>
      </c>
    </row>
    <row r="9" spans="1:12" ht="15">
      <c r="B9" t="s">
        <v>26</v>
      </c>
      <c r="C9" s="13">
        <f>C7+C8</f>
        <v>167518.29081493849</v>
      </c>
      <c r="D9" s="3">
        <f t="shared" ref="D9:L9" si="2">D7+D8</f>
        <v>345726.93448905495</v>
      </c>
      <c r="E9" s="13">
        <f t="shared" si="2"/>
        <v>535307.21796287841</v>
      </c>
      <c r="F9" s="3">
        <f t="shared" si="2"/>
        <v>736886.60709242546</v>
      </c>
      <c r="G9" s="3">
        <f t="shared" si="2"/>
        <v>951069.19212248409</v>
      </c>
      <c r="H9" s="3">
        <f t="shared" si="2"/>
        <v>1178454.0003910437</v>
      </c>
      <c r="I9" s="3">
        <f t="shared" si="2"/>
        <v>1419646.118435496</v>
      </c>
      <c r="J9" s="3">
        <f t="shared" si="2"/>
        <v>1675263.5978210419</v>
      </c>
      <c r="K9" s="3">
        <f t="shared" si="2"/>
        <v>1945941.8505426974</v>
      </c>
      <c r="L9" s="13">
        <f t="shared" si="2"/>
        <v>2232336.5994015406</v>
      </c>
    </row>
    <row r="12" spans="1:12">
      <c r="A12" s="2"/>
      <c r="B12" s="2" t="s">
        <v>30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</row>
    <row r="13" spans="1:12">
      <c r="B13" t="s">
        <v>20</v>
      </c>
      <c r="C13" s="3">
        <v>0</v>
      </c>
      <c r="D13" s="3">
        <f>C19</f>
        <v>6273116.0103483712</v>
      </c>
      <c r="E13" s="3">
        <f t="shared" ref="E13:L13" si="3">D19</f>
        <v>12961049.424577901</v>
      </c>
      <c r="F13" s="3">
        <f t="shared" si="3"/>
        <v>20084758.329523131</v>
      </c>
      <c r="G13" s="3">
        <f t="shared" si="3"/>
        <v>27664958.017489333</v>
      </c>
      <c r="H13" s="3">
        <f t="shared" si="3"/>
        <v>35722588.488054618</v>
      </c>
      <c r="I13" s="3">
        <f t="shared" si="3"/>
        <v>44279083.865567163</v>
      </c>
      <c r="J13" s="3">
        <f t="shared" si="3"/>
        <v>53356531.526626572</v>
      </c>
      <c r="K13" s="3">
        <f t="shared" si="3"/>
        <v>62977770.570168748</v>
      </c>
      <c r="L13" s="3">
        <f t="shared" si="3"/>
        <v>73166457.470635578</v>
      </c>
    </row>
    <row r="14" spans="1:12" ht="15">
      <c r="B14" t="s">
        <v>21</v>
      </c>
      <c r="C14" s="4">
        <v>6290203</v>
      </c>
      <c r="D14" s="3">
        <f>$C14*_xlfn.XLOOKUP(D12,'Interest, etc. BI and EF'!$A$2:$A$11,'Interest, etc. BI and EF'!$I$2:$I$11)</f>
        <v>6592754.9446077254</v>
      </c>
      <c r="E14" s="3">
        <f>$C14*_xlfn.XLOOKUP(E12,'Interest, etc. BI and EF'!$A$2:$A$11,'Interest, etc. BI and EF'!$I$2:$I$11)</f>
        <v>6908094.7532939482</v>
      </c>
      <c r="F14" s="3">
        <f>$C14*_xlfn.XLOOKUP(F12,'Interest, etc. BI and EF'!$A$2:$A$11,'Interest, etc. BI and EF'!$I$2:$I$11)</f>
        <v>7236069.2973394571</v>
      </c>
      <c r="G14" s="3">
        <f>$C14*_xlfn.XLOOKUP(G12,'Interest, etc. BI and EF'!$A$2:$A$11,'Interest, etc. BI and EF'!$I$2:$I$11)</f>
        <v>7576738.4690199438</v>
      </c>
      <c r="H14" s="3">
        <f>$C14*_xlfn.XLOOKUP(H12,'Interest, etc. BI and EF'!$A$2:$A$11,'Interest, etc. BI and EF'!$I$2:$I$11)</f>
        <v>7930299.2649468808</v>
      </c>
      <c r="I14" s="3">
        <f>$C14*_xlfn.XLOOKUP(I12,'Interest, etc. BI and EF'!$A$2:$A$11,'Interest, etc. BI and EF'!$I$2:$I$11)</f>
        <v>8297038.807863242</v>
      </c>
      <c r="J14" s="3">
        <f>$C14*_xlfn.XLOOKUP(J12,'Interest, etc. BI and EF'!$A$2:$A$11,'Interest, etc. BI and EF'!$I$2:$I$11)</f>
        <v>8677305.3376705237</v>
      </c>
      <c r="K14" s="3">
        <f>$C14*_xlfn.XLOOKUP(K12,'Interest, etc. BI and EF'!$A$2:$A$11,'Interest, etc. BI and EF'!$I$2:$I$11)</f>
        <v>9071490.3091375679</v>
      </c>
      <c r="L14" s="3">
        <f>$C14*_xlfn.XLOOKUP(L12,'Interest, etc. BI and EF'!$A$2:$A$11,'Interest, etc. BI and EF'!$I$2:$I$11)</f>
        <v>9480017.4543374535</v>
      </c>
    </row>
    <row r="15" spans="1:12">
      <c r="A15" t="s">
        <v>27</v>
      </c>
      <c r="B15" t="s">
        <v>28</v>
      </c>
      <c r="C15" s="3">
        <f>(C13+C14)*((1+_xlfn.XLOOKUP(C$12,'Interest, etc. BI and EF'!$A$2:$A$11,'Interest, etc. BI and EF'!$C$2:$C$11))^(1/2)-1)</f>
        <v>55549.62268795156</v>
      </c>
      <c r="D15" s="3">
        <f>(D13+D14)*((1+_xlfn.XLOOKUP(D$12,'Interest, etc. BI and EF'!$A$2:$A$11,'Interest, etc. BI and EF'!$C$2:$C$11))^(1/2)-1)</f>
        <v>114525.92202236321</v>
      </c>
      <c r="E15" s="3">
        <f>(E13+E14)*((1+_xlfn.XLOOKUP(E$12,'Interest, etc. BI and EF'!$A$2:$A$11,'Interest, etc. BI and EF'!$C$2:$C$11))^(1/2)-1)</f>
        <v>177693.27898288093</v>
      </c>
      <c r="F15" s="3">
        <f>(F13+F14)*((1+_xlfn.XLOOKUP(F$12,'Interest, etc. BI and EF'!$A$2:$A$11,'Interest, etc. BI and EF'!$C$2:$C$11))^(1/2)-1)</f>
        <v>245008.22655974989</v>
      </c>
      <c r="G15" s="3">
        <f>(G13+G14)*((1+_xlfn.XLOOKUP(G$12,'Interest, etc. BI and EF'!$A$2:$A$11,'Interest, etc. BI and EF'!$C$2:$C$11))^(1/2)-1)</f>
        <v>316554.93576206407</v>
      </c>
      <c r="H15" s="3">
        <f>(H13+H14)*((1+_xlfn.XLOOKUP(H$12,'Interest, etc. BI and EF'!$A$2:$A$11,'Interest, etc. BI and EF'!$C$2:$C$11))^(1/2)-1)</f>
        <v>392484.15036868112</v>
      </c>
      <c r="I15" s="3">
        <f>(I13+I14)*((1+_xlfn.XLOOKUP(I$12,'Interest, etc. BI and EF'!$A$2:$A$11,'Interest, etc. BI and EF'!$C$2:$C$11))^(1/2)-1)</f>
        <v>472981.49494928116</v>
      </c>
      <c r="J15" s="3">
        <f>(J13+J14)*((1+_xlfn.XLOOKUP(J$12,'Interest, etc. BI and EF'!$A$2:$A$11,'Interest, etc. BI and EF'!$C$2:$C$11))^(1/2)-1)</f>
        <v>558251.59703524236</v>
      </c>
      <c r="K15" s="3">
        <f>(K13+K14)*((1+_xlfn.XLOOKUP(K$12,'Interest, etc. BI and EF'!$A$2:$A$11,'Interest, etc. BI and EF'!$C$2:$C$11))^(1/2)-1)</f>
        <v>648510.57719795336</v>
      </c>
      <c r="L15" s="3">
        <f>(L13+L14)*((1+_xlfn.XLOOKUP(L$12,'Interest, etc. BI and EF'!$A$2:$A$11,'Interest, etc. BI and EF'!$C$2:$C$11))^(1/2)-1)</f>
        <v>743982.78897406184</v>
      </c>
    </row>
    <row r="16" spans="1:12">
      <c r="A16" t="s">
        <v>31</v>
      </c>
      <c r="B16" t="s">
        <v>23</v>
      </c>
      <c r="C16" s="4">
        <f>126025.1*_xlfn.XLOOKUP(C12,'Interest, etc. BI and EF'!$A$2:$A$11,'Interest, etc. BI and EF'!$L$2:$L$11)</f>
        <v>127550.38666584744</v>
      </c>
      <c r="D16" s="5">
        <f>$C16*_xlfn.XLOOKUP(D12,'Interest, etc. BI and EF'!$A$2:$A$11,'Interest, etc. BI and EF'!$L$2:$L$11)/_xlfn.XLOOKUP($C12,'Interest, etc. BI and EF'!$A$2:$A$11,'Interest, etc. BI and EF'!$L$2:$L$11)</f>
        <v>133702.67202869066</v>
      </c>
      <c r="E16" s="5">
        <f>$C16*_xlfn.XLOOKUP(E12,'Interest, etc. BI and EF'!$A$2:$A$11,'Interest, etc. BI and EF'!$L$2:$L$11)/_xlfn.XLOOKUP($C12,'Interest, etc. BI and EF'!$A$2:$A$11,'Interest, etc. BI and EF'!$L$2:$L$11)</f>
        <v>140108.53335800237</v>
      </c>
      <c r="F16" s="5">
        <f>$C16*_xlfn.XLOOKUP(F12,'Interest, etc. BI and EF'!$A$2:$A$11,'Interest, etc. BI and EF'!$L$2:$L$11)/_xlfn.XLOOKUP($C12,'Interest, etc. BI and EF'!$A$2:$A$11,'Interest, etc. BI and EF'!$L$2:$L$11)</f>
        <v>146767.07135314419</v>
      </c>
      <c r="G16" s="5">
        <f>$C16*_xlfn.XLOOKUP(G12,'Interest, etc. BI and EF'!$A$2:$A$11,'Interest, etc. BI and EF'!$L$2:$L$11)/_xlfn.XLOOKUP($C12,'Interest, etc. BI and EF'!$A$2:$A$11,'Interest, etc. BI and EF'!$L$2:$L$11)</f>
        <v>153680.86962645384</v>
      </c>
      <c r="H16" s="5">
        <f>$C16*_xlfn.XLOOKUP(H12,'Interest, etc. BI and EF'!$A$2:$A$11,'Interest, etc. BI and EF'!$L$2:$L$11)/_xlfn.XLOOKUP($C12,'Interest, etc. BI and EF'!$A$2:$A$11,'Interest, etc. BI and EF'!$L$2:$L$11)</f>
        <v>160854.77340028927</v>
      </c>
      <c r="I16" s="5">
        <f>$C16*_xlfn.XLOOKUP(I12,'Interest, etc. BI and EF'!$A$2:$A$11,'Interest, etc. BI and EF'!$L$2:$L$11)/_xlfn.XLOOKUP($C12,'Interest, etc. BI and EF'!$A$2:$A$11,'Interest, etc. BI and EF'!$L$2:$L$11)</f>
        <v>168295.13400615007</v>
      </c>
      <c r="J16" s="5">
        <f>$C16*_xlfn.XLOOKUP(J12,'Interest, etc. BI and EF'!$A$2:$A$11,'Interest, etc. BI and EF'!$L$2:$L$11)/_xlfn.XLOOKUP($C12,'Interest, etc. BI and EF'!$A$2:$A$11,'Interest, etc. BI and EF'!$L$2:$L$11)</f>
        <v>176009.34231615992</v>
      </c>
      <c r="K16" s="5">
        <f>$C16*_xlfn.XLOOKUP(K12,'Interest, etc. BI and EF'!$A$2:$A$11,'Interest, etc. BI and EF'!$L$2:$L$11)/_xlfn.XLOOKUP($C12,'Interest, etc. BI and EF'!$A$2:$A$11,'Interest, etc. BI and EF'!$L$2:$L$11)</f>
        <v>184005.54181550842</v>
      </c>
      <c r="L16" s="5">
        <f>$C16*_xlfn.XLOOKUP(L12,'Interest, etc. BI and EF'!$A$2:$A$11,'Interest, etc. BI and EF'!$L$2:$L$11)/_xlfn.XLOOKUP($C12,'Interest, etc. BI and EF'!$A$2:$A$11,'Interest, etc. BI and EF'!$L$2:$L$11)</f>
        <v>192292.45325986558</v>
      </c>
    </row>
    <row r="17" spans="1:12">
      <c r="B17" t="s">
        <v>24</v>
      </c>
      <c r="C17" s="3">
        <f>C13+C14+C15-C16</f>
        <v>6218202.2360221045</v>
      </c>
      <c r="D17" s="3">
        <f t="shared" ref="D17:L17" si="4">D13+D14+D15-D16</f>
        <v>12846694.204949768</v>
      </c>
      <c r="E17" s="3">
        <f t="shared" si="4"/>
        <v>19906728.923496727</v>
      </c>
      <c r="F17" s="3">
        <f t="shared" si="4"/>
        <v>27419068.782069195</v>
      </c>
      <c r="G17" s="3">
        <f t="shared" si="4"/>
        <v>35404570.552644886</v>
      </c>
      <c r="H17" s="3">
        <f t="shared" si="4"/>
        <v>43884517.129969887</v>
      </c>
      <c r="I17" s="3">
        <f t="shared" si="4"/>
        <v>52880809.034373537</v>
      </c>
      <c r="J17" s="3">
        <f t="shared" si="4"/>
        <v>62416079.119016178</v>
      </c>
      <c r="K17" s="3">
        <f t="shared" si="4"/>
        <v>72513765.914688766</v>
      </c>
      <c r="L17" s="3">
        <f t="shared" si="4"/>
        <v>83198165.260687217</v>
      </c>
    </row>
    <row r="18" spans="1:12">
      <c r="B18" t="s">
        <v>25</v>
      </c>
      <c r="C18" s="3">
        <f>C17*((1+_xlfn.XLOOKUP(C$12,'Interest, etc. BI and EF'!$A$2:$A$11,'Interest, etc. BI and EF'!$C$2:$C$11))^(1/2)-1)</f>
        <v>54913.774326266517</v>
      </c>
      <c r="D18" s="3">
        <f>D17*((1+_xlfn.XLOOKUP(D$12,'Interest, etc. BI and EF'!$A$2:$A$11,'Interest, etc. BI and EF'!$C$2:$C$11))^(1/2)-1)</f>
        <v>114355.21962813307</v>
      </c>
      <c r="E18" s="3">
        <f>E17*((1+_xlfn.XLOOKUP(E$12,'Interest, etc. BI and EF'!$A$2:$A$11,'Interest, etc. BI and EF'!$C$2:$C$11))^(1/2)-1)</f>
        <v>178029.40602640301</v>
      </c>
      <c r="F18" s="3">
        <f>F17*((1+_xlfn.XLOOKUP(F$12,'Interest, etc. BI and EF'!$A$2:$A$11,'Interest, etc. BI and EF'!$C$2:$C$11))^(1/2)-1)</f>
        <v>245889.23542013616</v>
      </c>
      <c r="G18" s="3">
        <f>G17*((1+_xlfn.XLOOKUP(G$12,'Interest, etc. BI and EF'!$A$2:$A$11,'Interest, etc. BI and EF'!$C$2:$C$11))^(1/2)-1)</f>
        <v>318017.93540972855</v>
      </c>
      <c r="H18" s="3">
        <f>H17*((1+_xlfn.XLOOKUP(H$12,'Interest, etc. BI and EF'!$A$2:$A$11,'Interest, etc. BI and EF'!$C$2:$C$11))^(1/2)-1)</f>
        <v>394566.73559727496</v>
      </c>
      <c r="I18" s="3">
        <f>I17*((1+_xlfn.XLOOKUP(I$12,'Interest, etc. BI and EF'!$A$2:$A$11,'Interest, etc. BI and EF'!$C$2:$C$11))^(1/2)-1)</f>
        <v>475722.49225303187</v>
      </c>
      <c r="J18" s="3">
        <f>J17*((1+_xlfn.XLOOKUP(J$12,'Interest, etc. BI and EF'!$A$2:$A$11,'Interest, etc. BI and EF'!$C$2:$C$11))^(1/2)-1)</f>
        <v>561691.45115256996</v>
      </c>
      <c r="K18" s="3">
        <f>K17*((1+_xlfn.XLOOKUP(K$12,'Interest, etc. BI and EF'!$A$2:$A$11,'Interest, etc. BI and EF'!$C$2:$C$11))^(1/2)-1)</f>
        <v>652691.55594681029</v>
      </c>
      <c r="L18" s="3">
        <f>L17*((1+_xlfn.XLOOKUP(L$12,'Interest, etc. BI and EF'!$A$2:$A$11,'Interest, etc. BI and EF'!$C$2:$C$11))^(1/2)-1)</f>
        <v>748949.10018076829</v>
      </c>
    </row>
    <row r="19" spans="1:12" ht="15">
      <c r="B19" t="s">
        <v>26</v>
      </c>
      <c r="C19" s="13">
        <f>C17+C18</f>
        <v>6273116.0103483712</v>
      </c>
      <c r="D19" s="3">
        <f t="shared" ref="D19:L19" si="5">D17+D18</f>
        <v>12961049.424577901</v>
      </c>
      <c r="E19" s="13">
        <f t="shared" si="5"/>
        <v>20084758.329523131</v>
      </c>
      <c r="F19" s="3">
        <f t="shared" si="5"/>
        <v>27664958.017489333</v>
      </c>
      <c r="G19" s="3">
        <f t="shared" si="5"/>
        <v>35722588.488054618</v>
      </c>
      <c r="H19" s="3">
        <f t="shared" si="5"/>
        <v>44279083.865567163</v>
      </c>
      <c r="I19" s="3">
        <f t="shared" si="5"/>
        <v>53356531.526626572</v>
      </c>
      <c r="J19" s="3">
        <f t="shared" si="5"/>
        <v>62977770.570168748</v>
      </c>
      <c r="K19" s="3">
        <f t="shared" si="5"/>
        <v>73166457.470635578</v>
      </c>
      <c r="L19" s="13">
        <f t="shared" si="5"/>
        <v>83947114.360867992</v>
      </c>
    </row>
    <row r="21" spans="1:12">
      <c r="A21" s="2"/>
      <c r="B21" s="2" t="s">
        <v>32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</row>
    <row r="22" spans="1:12">
      <c r="B22" t="s">
        <v>20</v>
      </c>
      <c r="C22" s="3">
        <v>0</v>
      </c>
      <c r="D22" s="3">
        <f>C28</f>
        <v>-8502911.1790936962</v>
      </c>
      <c r="E22" s="3">
        <f t="shared" ref="E22:L22" si="6">D28</f>
        <v>-17569024.235659432</v>
      </c>
      <c r="F22" s="3">
        <f t="shared" si="6"/>
        <v>-27226452.535046667</v>
      </c>
      <c r="G22" s="3">
        <f t="shared" si="6"/>
        <v>-37503094.90651948</v>
      </c>
      <c r="H22" s="3">
        <f t="shared" si="6"/>
        <v>-48427225.852180719</v>
      </c>
      <c r="I22" s="3">
        <f t="shared" si="6"/>
        <v>-60027833.822843418</v>
      </c>
      <c r="J22" s="3">
        <f t="shared" si="6"/>
        <v>-72334820.275210083</v>
      </c>
      <c r="K22" s="3">
        <f t="shared" si="6"/>
        <v>-85379122.794497624</v>
      </c>
      <c r="L22" s="3">
        <f t="shared" si="6"/>
        <v>-99192797.689888343</v>
      </c>
    </row>
    <row r="23" spans="1:12" ht="15">
      <c r="B23" t="s">
        <v>21</v>
      </c>
      <c r="C23" s="4">
        <v>6290203</v>
      </c>
      <c r="D23" s="3">
        <f>$C23*_xlfn.XLOOKUP(D21,'Interest, etc. BI and EF'!$A$2:$A$11,'Interest, etc. BI and EF'!$I$2:$I$11)</f>
        <v>6592754.9446077254</v>
      </c>
      <c r="E23" s="3">
        <f>$C23*_xlfn.XLOOKUP(E21,'Interest, etc. BI and EF'!$A$2:$A$11,'Interest, etc. BI and EF'!$I$2:$I$11)</f>
        <v>6908094.7532939482</v>
      </c>
      <c r="F23" s="3">
        <f>$C23*_xlfn.XLOOKUP(F21,'Interest, etc. BI and EF'!$A$2:$A$11,'Interest, etc. BI and EF'!$I$2:$I$11)</f>
        <v>7236069.2973394571</v>
      </c>
      <c r="G23" s="3">
        <f>$C23*_xlfn.XLOOKUP(G21,'Interest, etc. BI and EF'!$A$2:$A$11,'Interest, etc. BI and EF'!$I$2:$I$11)</f>
        <v>7576738.4690199438</v>
      </c>
      <c r="H23" s="3">
        <f>$C23*_xlfn.XLOOKUP(H21,'Interest, etc. BI and EF'!$A$2:$A$11,'Interest, etc. BI and EF'!$I$2:$I$11)</f>
        <v>7930299.2649468808</v>
      </c>
      <c r="I23" s="3">
        <f>$C23*_xlfn.XLOOKUP(I21,'Interest, etc. BI and EF'!$A$2:$A$11,'Interest, etc. BI and EF'!$I$2:$I$11)</f>
        <v>8297038.807863242</v>
      </c>
      <c r="J23" s="3">
        <f>$C23*_xlfn.XLOOKUP(J21,'Interest, etc. BI and EF'!$A$2:$A$11,'Interest, etc. BI and EF'!$I$2:$I$11)</f>
        <v>8677305.3376705237</v>
      </c>
      <c r="K23" s="3">
        <f>$C23*_xlfn.XLOOKUP(K21,'Interest, etc. BI and EF'!$A$2:$A$11,'Interest, etc. BI and EF'!$I$2:$I$11)</f>
        <v>9071490.3091375679</v>
      </c>
      <c r="L23" s="3">
        <f>$C23*_xlfn.XLOOKUP(L21,'Interest, etc. BI and EF'!$A$2:$A$11,'Interest, etc. BI and EF'!$I$2:$I$11)</f>
        <v>9480017.4543374535</v>
      </c>
    </row>
    <row r="24" spans="1:12">
      <c r="B24" t="s">
        <v>28</v>
      </c>
      <c r="C24" s="3">
        <f>(C22+C23)*((1+_xlfn.XLOOKUP(C$21,'Interest, etc. BI and EF'!$A$2:$A$11,'Interest, etc. BI and EF'!$C$2:$C$11))^(1/2)-1)</f>
        <v>55549.62268795156</v>
      </c>
      <c r="D24" s="3">
        <f>(D22+D23)*((1+_xlfn.XLOOKUP(D$21,'Interest, etc. BI and EF'!$A$2:$A$11,'Interest, etc. BI and EF'!$C$2:$C$11))^(1/2)-1)</f>
        <v>-17003.310908928492</v>
      </c>
      <c r="E24" s="3">
        <f>(E22+E23)*((1+_xlfn.XLOOKUP(E$21,'Interest, etc. BI and EF'!$A$2:$A$11,'Interest, etc. BI and EF'!$C$2:$C$11))^(1/2)-1)</f>
        <v>-95342.582436768731</v>
      </c>
      <c r="F24" s="3">
        <f>(F22+F23)*((1+_xlfn.XLOOKUP(F$21,'Interest, etc. BI and EF'!$A$2:$A$11,'Interest, etc. BI and EF'!$C$2:$C$11))^(1/2)-1)</f>
        <v>-179270.13091304505</v>
      </c>
      <c r="G24" s="3">
        <f>(G22+G23)*((1+_xlfn.XLOOKUP(G$21,'Interest, etc. BI and EF'!$A$2:$A$11,'Interest, etc. BI and EF'!$C$2:$C$11))^(1/2)-1)</f>
        <v>-268810.43718459312</v>
      </c>
      <c r="H24" s="3">
        <f>(H22+H23)*((1+_xlfn.XLOOKUP(H$21,'Interest, etc. BI and EF'!$A$2:$A$11,'Interest, etc. BI and EF'!$C$2:$C$11))^(1/2)-1)</f>
        <v>-364108.8285858123</v>
      </c>
      <c r="I24" s="3">
        <f>(I22+I23)*((1+_xlfn.XLOOKUP(I$21,'Interest, etc. BI and EF'!$A$2:$A$11,'Interest, etc. BI and EF'!$C$2:$C$11))^(1/2)-1)</f>
        <v>-465376.81968444237</v>
      </c>
      <c r="J24" s="3">
        <f>(J22+J23)*((1+_xlfn.XLOOKUP(J$21,'Interest, etc. BI and EF'!$A$2:$A$11,'Interest, etc. BI and EF'!$C$2:$C$11))^(1/2)-1)</f>
        <v>-572863.31417667225</v>
      </c>
      <c r="K24" s="3">
        <f>(K22+K23)*((1+_xlfn.XLOOKUP(K$21,'Interest, etc. BI and EF'!$A$2:$A$11,'Interest, etc. BI and EF'!$C$2:$C$11))^(1/2)-1)</f>
        <v>-686839.89514600823</v>
      </c>
      <c r="L24" s="3">
        <f>(L22+L23)*((1+_xlfn.XLOOKUP(L$21,'Interest, etc. BI and EF'!$A$2:$A$11,'Interest, etc. BI and EF'!$C$2:$C$11))^(1/2)-1)</f>
        <v>-807593.60283488862</v>
      </c>
    </row>
    <row r="25" spans="1:12">
      <c r="B25" t="s">
        <v>23</v>
      </c>
      <c r="C25" s="4">
        <f>14597556*_xlfn.XLOOKUP(C21,'Interest, etc. BI and EF'!$A$2:$A$11,'Interest, etc. BI and EF'!$L$2:$L$11)</f>
        <v>14774230.785584468</v>
      </c>
      <c r="D25" s="5">
        <f>$C25*_xlfn.XLOOKUP(D21,'Interest, etc. BI and EF'!$A$2:$A$11,'Interest, etc. BI and EF'!$L$2:$L$11)/_xlfn.XLOOKUP($C21,'Interest, etc. BI and EF'!$A$2:$A$11,'Interest, etc. BI and EF'!$L$2:$L$11)</f>
        <v>15486853.351343863</v>
      </c>
      <c r="E25" s="5">
        <f>$C25*_xlfn.XLOOKUP(E21,'Interest, etc. BI and EF'!$A$2:$A$11,'Interest, etc. BI and EF'!$L$2:$L$11)/_xlfn.XLOOKUP($C21,'Interest, etc. BI and EF'!$A$2:$A$11,'Interest, etc. BI and EF'!$L$2:$L$11)</f>
        <v>16228847.759464642</v>
      </c>
      <c r="F25" s="5">
        <f>$C25*_xlfn.XLOOKUP(F21,'Interest, etc. BI and EF'!$A$2:$A$11,'Interest, etc. BI and EF'!$L$2:$L$11)/_xlfn.XLOOKUP($C21,'Interest, etc. BI and EF'!$A$2:$A$11,'Interest, etc. BI and EF'!$L$2:$L$11)</f>
        <v>17000109.843463864</v>
      </c>
      <c r="G25" s="5">
        <f>$C25*_xlfn.XLOOKUP(G21,'Interest, etc. BI and EF'!$A$2:$A$11,'Interest, etc. BI and EF'!$L$2:$L$11)/_xlfn.XLOOKUP($C21,'Interest, etc. BI and EF'!$A$2:$A$11,'Interest, etc. BI and EF'!$L$2:$L$11)</f>
        <v>17800938.864566337</v>
      </c>
      <c r="H25" s="5">
        <f>$C25*_xlfn.XLOOKUP(H21,'Interest, etc. BI and EF'!$A$2:$A$11,'Interest, etc. BI and EF'!$L$2:$L$11)/_xlfn.XLOOKUP($C21,'Interest, etc. BI and EF'!$A$2:$A$11,'Interest, etc. BI and EF'!$L$2:$L$11)</f>
        <v>18631896.04751778</v>
      </c>
      <c r="I25" s="5">
        <f>$C25*_xlfn.XLOOKUP(I21,'Interest, etc. BI and EF'!$A$2:$A$11,'Interest, etc. BI and EF'!$L$2:$L$11)/_xlfn.XLOOKUP($C21,'Interest, etc. BI and EF'!$A$2:$A$11,'Interest, etc. BI and EF'!$L$2:$L$11)</f>
        <v>19493717.070506431</v>
      </c>
      <c r="J25" s="5">
        <f>$C25*_xlfn.XLOOKUP(J21,'Interest, etc. BI and EF'!$A$2:$A$11,'Interest, etc. BI and EF'!$L$2:$L$11)/_xlfn.XLOOKUP($C21,'Interest, etc. BI and EF'!$A$2:$A$11,'Interest, etc. BI and EF'!$L$2:$L$11)</f>
        <v>20387258.022277419</v>
      </c>
      <c r="K25" s="5">
        <f>$C25*_xlfn.XLOOKUP(K21,'Interest, etc. BI and EF'!$A$2:$A$11,'Interest, etc. BI and EF'!$L$2:$L$11)/_xlfn.XLOOKUP($C21,'Interest, etc. BI and EF'!$A$2:$A$11,'Interest, etc. BI and EF'!$L$2:$L$11)</f>
        <v>21313462.167157378</v>
      </c>
      <c r="L25" s="5">
        <f>$C25*_xlfn.XLOOKUP(L21,'Interest, etc. BI and EF'!$A$2:$A$11,'Interest, etc. BI and EF'!$L$2:$L$11)/_xlfn.XLOOKUP($C21,'Interest, etc. BI and EF'!$A$2:$A$11,'Interest, etc. BI and EF'!$L$2:$L$11)</f>
        <v>22273339.63502723</v>
      </c>
    </row>
    <row r="26" spans="1:12">
      <c r="B26" t="s">
        <v>24</v>
      </c>
      <c r="C26" s="3">
        <f>C22+C23+C24-C25</f>
        <v>-8428478.1628965177</v>
      </c>
      <c r="D26" s="3">
        <f t="shared" ref="D26:L26" si="7">D22+D23+D24-D25</f>
        <v>-17414012.89673876</v>
      </c>
      <c r="E26" s="3">
        <f t="shared" si="7"/>
        <v>-26985119.824266896</v>
      </c>
      <c r="F26" s="3">
        <f t="shared" si="7"/>
        <v>-37169763.212084115</v>
      </c>
      <c r="G26" s="3">
        <f t="shared" si="7"/>
        <v>-47996105.739250466</v>
      </c>
      <c r="H26" s="3">
        <f t="shared" si="7"/>
        <v>-59492931.463337436</v>
      </c>
      <c r="I26" s="3">
        <f t="shared" si="7"/>
        <v>-71689888.905171052</v>
      </c>
      <c r="J26" s="3">
        <f t="shared" si="7"/>
        <v>-84617636.273993656</v>
      </c>
      <c r="K26" s="3">
        <f t="shared" si="7"/>
        <v>-98307934.54766345</v>
      </c>
      <c r="L26" s="3">
        <f t="shared" si="7"/>
        <v>-112793713.47341302</v>
      </c>
    </row>
    <row r="27" spans="1:12">
      <c r="B27" t="s">
        <v>25</v>
      </c>
      <c r="C27" s="3">
        <f>C26*((1+_xlfn.XLOOKUP(C$21,'Interest, etc. BI and EF'!$A$2:$A$11,'Interest, etc. BI and EF'!$C$2:$C$11))^(1/2)-1)</f>
        <v>-74433.016197178484</v>
      </c>
      <c r="D27" s="3">
        <f>D26*((1+_xlfn.XLOOKUP(D$21,'Interest, etc. BI and EF'!$A$2:$A$11,'Interest, etc. BI and EF'!$C$2:$C$11))^(1/2)-1)</f>
        <v>-155011.3389206721</v>
      </c>
      <c r="E27" s="3">
        <f>E26*((1+_xlfn.XLOOKUP(E$21,'Interest, etc. BI and EF'!$A$2:$A$11,'Interest, etc. BI and EF'!$C$2:$C$11))^(1/2)-1)</f>
        <v>-241332.71077977153</v>
      </c>
      <c r="F27" s="3">
        <f>F26*((1+_xlfn.XLOOKUP(F$21,'Interest, etc. BI and EF'!$A$2:$A$11,'Interest, etc. BI and EF'!$C$2:$C$11))^(1/2)-1)</f>
        <v>-333331.69443536218</v>
      </c>
      <c r="G27" s="3">
        <f>G26*((1+_xlfn.XLOOKUP(G$21,'Interest, etc. BI and EF'!$A$2:$A$11,'Interest, etc. BI and EF'!$C$2:$C$11))^(1/2)-1)</f>
        <v>-431120.11293025536</v>
      </c>
      <c r="H27" s="3">
        <f>H26*((1+_xlfn.XLOOKUP(H$21,'Interest, etc. BI and EF'!$A$2:$A$11,'Interest, etc. BI and EF'!$C$2:$C$11))^(1/2)-1)</f>
        <v>-534902.35950597934</v>
      </c>
      <c r="I27" s="3">
        <f>I26*((1+_xlfn.XLOOKUP(I$21,'Interest, etc. BI and EF'!$A$2:$A$11,'Interest, etc. BI and EF'!$C$2:$C$11))^(1/2)-1)</f>
        <v>-644931.37003903207</v>
      </c>
      <c r="J27" s="3">
        <f>J26*((1+_xlfn.XLOOKUP(J$21,'Interest, etc. BI and EF'!$A$2:$A$11,'Interest, etc. BI and EF'!$C$2:$C$11))^(1/2)-1)</f>
        <v>-761486.52050396544</v>
      </c>
      <c r="K27" s="3">
        <f>K26*((1+_xlfn.XLOOKUP(K$21,'Interest, etc. BI and EF'!$A$2:$A$11,'Interest, etc. BI and EF'!$C$2:$C$11))^(1/2)-1)</f>
        <v>-884863.14222489018</v>
      </c>
      <c r="L27" s="3">
        <f>L26*((1+_xlfn.XLOOKUP(L$21,'Interest, etc. BI and EF'!$A$2:$A$11,'Interest, etc. BI and EF'!$C$2:$C$11))^(1/2)-1)</f>
        <v>-1015367.9464837553</v>
      </c>
    </row>
    <row r="28" spans="1:12" ht="15">
      <c r="B28" t="s">
        <v>26</v>
      </c>
      <c r="C28" s="13">
        <f>C26+C27</f>
        <v>-8502911.1790936962</v>
      </c>
      <c r="D28" s="3">
        <f t="shared" ref="D28:L28" si="8">D26+D27</f>
        <v>-17569024.235659432</v>
      </c>
      <c r="E28" s="13">
        <f t="shared" si="8"/>
        <v>-27226452.535046667</v>
      </c>
      <c r="F28" s="3">
        <f t="shared" si="8"/>
        <v>-37503094.90651948</v>
      </c>
      <c r="G28" s="3">
        <f t="shared" si="8"/>
        <v>-48427225.852180719</v>
      </c>
      <c r="H28" s="3">
        <f t="shared" si="8"/>
        <v>-60027833.822843418</v>
      </c>
      <c r="I28" s="3">
        <f t="shared" si="8"/>
        <v>-72334820.275210083</v>
      </c>
      <c r="J28" s="3">
        <f t="shared" si="8"/>
        <v>-85379122.794497624</v>
      </c>
      <c r="K28" s="3">
        <f t="shared" si="8"/>
        <v>-99192797.689888343</v>
      </c>
      <c r="L28" s="13">
        <f t="shared" si="8"/>
        <v>-113809081.41989678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D27A-B95D-418E-9DF2-7C7BDC450638}">
  <dimension ref="A1:L28"/>
  <sheetViews>
    <sheetView workbookViewId="0">
      <selection activeCell="C6" sqref="C6:D6"/>
    </sheetView>
  </sheetViews>
  <sheetFormatPr defaultRowHeight="14.45"/>
  <cols>
    <col min="1" max="1" width="34.140625" bestFit="1" customWidth="1"/>
    <col min="2" max="2" width="40.140625" bestFit="1" customWidth="1"/>
    <col min="3" max="5" width="16" bestFit="1" customWidth="1"/>
    <col min="6" max="12" width="17.7109375" bestFit="1" customWidth="1"/>
    <col min="13" max="13" width="11.42578125" bestFit="1" customWidth="1"/>
  </cols>
  <sheetData>
    <row r="1" spans="1:12">
      <c r="A1" s="1" t="s">
        <v>12</v>
      </c>
    </row>
    <row r="2" spans="1:12">
      <c r="A2" s="2"/>
      <c r="B2" s="2" t="s">
        <v>17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>
      <c r="B3" t="s">
        <v>20</v>
      </c>
      <c r="C3" s="3">
        <v>0</v>
      </c>
      <c r="D3" s="3">
        <f>C9</f>
        <v>2368923.4007422542</v>
      </c>
      <c r="E3" s="3">
        <f t="shared" ref="E3:L3" si="0">D9</f>
        <v>4887786.0780096389</v>
      </c>
      <c r="F3" s="3">
        <f t="shared" si="0"/>
        <v>7566610.7372462619</v>
      </c>
      <c r="G3" s="3">
        <f t="shared" si="0"/>
        <v>10414507.795114171</v>
      </c>
      <c r="H3" s="3">
        <f t="shared" si="0"/>
        <v>13440163.283334954</v>
      </c>
      <c r="I3" s="3">
        <f t="shared" si="0"/>
        <v>16652133.323679417</v>
      </c>
      <c r="J3" s="3">
        <f t="shared" si="0"/>
        <v>20059023.359441079</v>
      </c>
      <c r="K3" s="3">
        <f t="shared" si="0"/>
        <v>23669599.47054169</v>
      </c>
      <c r="L3" s="3">
        <f t="shared" si="0"/>
        <v>27492858.968956992</v>
      </c>
    </row>
    <row r="4" spans="1:12" ht="15">
      <c r="B4" t="s">
        <v>21</v>
      </c>
      <c r="C4" s="4">
        <v>108505130</v>
      </c>
      <c r="D4" s="3">
        <f>$C4*_xlfn.XLOOKUP(D2,'Interest, etc. BI and EF'!$A$2:$A$11,'Interest, etc. BI and EF'!$I$2:$I$11)</f>
        <v>113724109.11425339</v>
      </c>
      <c r="E4" s="3">
        <f>$C4*_xlfn.XLOOKUP(E2,'Interest, etc. BI and EF'!$A$2:$A$11,'Interest, etc. BI and EF'!$I$2:$I$11)</f>
        <v>119163677.11160955</v>
      </c>
      <c r="F4" s="3">
        <f>$C4*_xlfn.XLOOKUP(F2,'Interest, etc. BI and EF'!$A$2:$A$11,'Interest, etc. BI and EF'!$I$2:$I$11)</f>
        <v>124821192.54288398</v>
      </c>
      <c r="G4" s="3">
        <f>$C4*_xlfn.XLOOKUP(G2,'Interest, etc. BI and EF'!$A$2:$A$11,'Interest, etc. BI and EF'!$I$2:$I$11)</f>
        <v>130697688.54153197</v>
      </c>
      <c r="H4" s="3">
        <f>$C4*_xlfn.XLOOKUP(H2,'Interest, etc. BI and EF'!$A$2:$A$11,'Interest, etc. BI and EF'!$I$2:$I$11)</f>
        <v>136796563.27179992</v>
      </c>
      <c r="I4" s="3">
        <f>$C4*_xlfn.XLOOKUP(I2,'Interest, etc. BI and EF'!$A$2:$A$11,'Interest, etc. BI and EF'!$I$2:$I$11)</f>
        <v>143122769.56121227</v>
      </c>
      <c r="J4" s="3">
        <f>$C4*_xlfn.XLOOKUP(J2,'Interest, etc. BI and EF'!$A$2:$A$11,'Interest, etc. BI and EF'!$I$2:$I$11)</f>
        <v>149682314.49980772</v>
      </c>
      <c r="K4" s="3">
        <f>$C4*_xlfn.XLOOKUP(K2,'Interest, etc. BI and EF'!$A$2:$A$11,'Interest, etc. BI and EF'!$I$2:$I$11)</f>
        <v>156481950.62809771</v>
      </c>
      <c r="L4" s="3">
        <f>$C4*_xlfn.XLOOKUP(L2,'Interest, etc. BI and EF'!$A$2:$A$11,'Interest, etc. BI and EF'!$I$2:$I$11)</f>
        <v>163528987.26561838</v>
      </c>
    </row>
    <row r="5" spans="1:12">
      <c r="A5" t="s">
        <v>27</v>
      </c>
      <c r="B5" t="s">
        <v>28</v>
      </c>
      <c r="C5" s="3">
        <f>(C3+C4)*((1+_xlfn.XLOOKUP(C$2,'Interest, etc. BI and EF'!$A$2:$A$11,'Interest, etc. BI and EF'!$C$2:$C$11))^(1/2)-1)</f>
        <v>958223.29282650084</v>
      </c>
      <c r="D5" s="3">
        <f>(D3+D4)*((1+_xlfn.XLOOKUP(D$2,'Interest, etc. BI and EF'!$A$2:$A$11,'Interest, etc. BI and EF'!$C$2:$C$11))^(1/2)-1)</f>
        <v>1033405.4830567386</v>
      </c>
      <c r="E5" s="3">
        <f>(E3+E4)*((1+_xlfn.XLOOKUP(E$2,'Interest, etc. BI and EF'!$A$2:$A$11,'Interest, etc. BI and EF'!$C$2:$C$11))^(1/2)-1)</f>
        <v>1109414.2283861865</v>
      </c>
      <c r="F5" s="3">
        <f>(F3+F4)*((1+_xlfn.XLOOKUP(F$2,'Interest, etc. BI and EF'!$A$2:$A$11,'Interest, etc. BI and EF'!$C$2:$C$11))^(1/2)-1)</f>
        <v>1187229.8066078234</v>
      </c>
      <c r="G5" s="3">
        <f>(G3+G4)*((1+_xlfn.XLOOKUP(G$2,'Interest, etc. BI and EF'!$A$2:$A$11,'Interest, etc. BI and EF'!$C$2:$C$11))^(1/2)-1)</f>
        <v>1267525.8770158987</v>
      </c>
      <c r="H5" s="3">
        <f>(H3+H4)*((1+_xlfn.XLOOKUP(H$2,'Interest, etc. BI and EF'!$A$2:$A$11,'Interest, etc. BI and EF'!$C$2:$C$11))^(1/2)-1)</f>
        <v>1350781.9759784301</v>
      </c>
      <c r="I5" s="3">
        <f>(I3+I4)*((1+_xlfn.XLOOKUP(I$2,'Interest, etc. BI and EF'!$A$2:$A$11,'Interest, etc. BI and EF'!$C$2:$C$11))^(1/2)-1)</f>
        <v>1437355.3731086038</v>
      </c>
      <c r="J5" s="3">
        <f>(J3+J4)*((1+_xlfn.XLOOKUP(J$2,'Interest, etc. BI and EF'!$A$2:$A$11,'Interest, etc. BI and EF'!$C$2:$C$11))^(1/2)-1)</f>
        <v>1527527.1969733899</v>
      </c>
      <c r="K5" s="3">
        <f>(K3+K4)*((1+_xlfn.XLOOKUP(K$2,'Interest, etc. BI and EF'!$A$2:$A$11,'Interest, etc. BI and EF'!$C$2:$C$11))^(1/2)-1)</f>
        <v>1621532.0505963736</v>
      </c>
      <c r="L5" s="3">
        <f>(L3+L4)*((1+_xlfn.XLOOKUP(L$2,'Interest, etc. BI and EF'!$A$2:$A$11,'Interest, etc. BI and EF'!$C$2:$C$11))^(1/2)-1)</f>
        <v>1719576.8609077211</v>
      </c>
    </row>
    <row r="6" spans="1:12">
      <c r="A6" t="s">
        <v>29</v>
      </c>
      <c r="B6" t="s">
        <v>23</v>
      </c>
      <c r="C6" s="4">
        <f>105834251*_xlfn.XLOOKUP(C12,'Interest, etc. BI and EF'!$A$2:$A$11,'Interest, etc. BI and EF'!$L$2:$L$11)</f>
        <v>107115167.0384737</v>
      </c>
      <c r="D6" s="5">
        <f>$C6*_xlfn.XLOOKUP(D2,'Interest, etc. BI and EF'!$A$2:$A$11,'Interest, etc. BI and EF'!$L$2:$L$11)/_xlfn.XLOOKUP($C2,'Interest, etc. BI and EF'!$A$2:$A$11,'Interest, etc. BI and EF'!$L$2:$L$11)</f>
        <v>112281776.81156473</v>
      </c>
      <c r="E6" s="5">
        <f>$C6*_xlfn.XLOOKUP(E2,'Interest, etc. BI and EF'!$A$2:$A$11,'Interest, etc. BI and EF'!$L$2:$L$11)/_xlfn.XLOOKUP($C2,'Interest, etc. BI and EF'!$A$2:$A$11,'Interest, etc. BI and EF'!$L$2:$L$11)</f>
        <v>117661336.4056263</v>
      </c>
      <c r="F6" s="5">
        <f>$C6*_xlfn.XLOOKUP(F2,'Interest, etc. BI and EF'!$A$2:$A$11,'Interest, etc. BI and EF'!$L$2:$L$11)/_xlfn.XLOOKUP($C2,'Interest, etc. BI and EF'!$A$2:$A$11,'Interest, etc. BI and EF'!$L$2:$L$11)</f>
        <v>123253090.59959938</v>
      </c>
      <c r="G6" s="5">
        <f>$C6*_xlfn.XLOOKUP(G2,'Interest, etc. BI and EF'!$A$2:$A$11,'Interest, etc. BI and EF'!$L$2:$L$11)/_xlfn.XLOOKUP($C2,'Interest, etc. BI and EF'!$A$2:$A$11,'Interest, etc. BI and EF'!$L$2:$L$11)</f>
        <v>129059209.07775033</v>
      </c>
      <c r="H6" s="5">
        <f>$C6*_xlfn.XLOOKUP(H2,'Interest, etc. BI and EF'!$A$2:$A$11,'Interest, etc. BI and EF'!$L$2:$L$11)/_xlfn.XLOOKUP($C2,'Interest, etc. BI and EF'!$A$2:$A$11,'Interest, etc. BI and EF'!$L$2:$L$11)</f>
        <v>135083760.79522523</v>
      </c>
      <c r="I6" s="5">
        <f>$C6*_xlfn.XLOOKUP(I2,'Interest, etc. BI and EF'!$A$2:$A$11,'Interest, etc. BI and EF'!$L$2:$L$11)/_xlfn.XLOOKUP($C2,'Interest, etc. BI and EF'!$A$2:$A$11,'Interest, etc. BI and EF'!$L$2:$L$11)</f>
        <v>141332079.51817158</v>
      </c>
      <c r="J6" s="5">
        <f>$C6*_xlfn.XLOOKUP(J2,'Interest, etc. BI and EF'!$A$2:$A$11,'Interest, etc. BI and EF'!$L$2:$L$11)/_xlfn.XLOOKUP($C2,'Interest, etc. BI and EF'!$A$2:$A$11,'Interest, etc. BI and EF'!$L$2:$L$11)</f>
        <v>147810372.00552422</v>
      </c>
      <c r="K6" s="5">
        <f>$C6*_xlfn.XLOOKUP(K2,'Interest, etc. BI and EF'!$A$2:$A$11,'Interest, etc. BI and EF'!$L$2:$L$11)/_xlfn.XLOOKUP($C2,'Interest, etc. BI and EF'!$A$2:$A$11,'Interest, etc. BI and EF'!$L$2:$L$11)</f>
        <v>154525477.05094865</v>
      </c>
      <c r="L6" s="5">
        <f>$C6*_xlfn.XLOOKUP(L2,'Interest, etc. BI and EF'!$A$2:$A$11,'Interest, etc. BI and EF'!$L$2:$L$11)/_xlfn.XLOOKUP($C2,'Interest, etc. BI and EF'!$A$2:$A$11,'Interest, etc. BI and EF'!$L$2:$L$11)</f>
        <v>161484718.23240277</v>
      </c>
    </row>
    <row r="7" spans="1:12">
      <c r="B7" t="s">
        <v>24</v>
      </c>
      <c r="C7" s="3">
        <f>C3+C4+C5-C6</f>
        <v>2348186.254352808</v>
      </c>
      <c r="D7" s="3">
        <f t="shared" ref="D7:L7" si="1">D3+D4+D5-D6</f>
        <v>4844661.1864876449</v>
      </c>
      <c r="E7" s="3">
        <f t="shared" si="1"/>
        <v>7499541.0123790801</v>
      </c>
      <c r="F7" s="3">
        <f t="shared" si="1"/>
        <v>10321942.487138689</v>
      </c>
      <c r="G7" s="3">
        <f t="shared" si="1"/>
        <v>13320513.135911703</v>
      </c>
      <c r="H7" s="3">
        <f t="shared" si="1"/>
        <v>16503747.735888064</v>
      </c>
      <c r="I7" s="3">
        <f t="shared" si="1"/>
        <v>19880178.739828706</v>
      </c>
      <c r="J7" s="3">
        <f t="shared" si="1"/>
        <v>23458493.050697953</v>
      </c>
      <c r="K7" s="3">
        <f t="shared" si="1"/>
        <v>27247605.098287135</v>
      </c>
      <c r="L7" s="3">
        <f t="shared" si="1"/>
        <v>31256704.863080353</v>
      </c>
    </row>
    <row r="8" spans="1:12">
      <c r="B8" t="s">
        <v>25</v>
      </c>
      <c r="C8" s="3">
        <f>C7*((1+_xlfn.XLOOKUP(C$2,'Interest, etc. BI and EF'!$A$2:$A$11,'Interest, etc. BI and EF'!$C$2:$C$11))^(1/2)-1)</f>
        <v>20737.146389446054</v>
      </c>
      <c r="D8" s="3">
        <f>D7*((1+_xlfn.XLOOKUP(D$2,'Interest, etc. BI and EF'!$A$2:$A$11,'Interest, etc. BI and EF'!$C$2:$C$11))^(1/2)-1)</f>
        <v>43124.891521993894</v>
      </c>
      <c r="E8" s="3">
        <f>E7*((1+_xlfn.XLOOKUP(E$2,'Interest, etc. BI and EF'!$A$2:$A$11,'Interest, etc. BI and EF'!$C$2:$C$11))^(1/2)-1)</f>
        <v>67069.724867181852</v>
      </c>
      <c r="F8" s="3">
        <f>F7*((1+_xlfn.XLOOKUP(F$2,'Interest, etc. BI and EF'!$A$2:$A$11,'Interest, etc. BI and EF'!$C$2:$C$11))^(1/2)-1)</f>
        <v>92565.307975481686</v>
      </c>
      <c r="G8" s="3">
        <f>G7*((1+_xlfn.XLOOKUP(G$2,'Interest, etc. BI and EF'!$A$2:$A$11,'Interest, etc. BI and EF'!$C$2:$C$11))^(1/2)-1)</f>
        <v>119650.14742324979</v>
      </c>
      <c r="H8" s="3">
        <f>H7*((1+_xlfn.XLOOKUP(H$2,'Interest, etc. BI and EF'!$A$2:$A$11,'Interest, etc. BI and EF'!$C$2:$C$11))^(1/2)-1)</f>
        <v>148385.58779135277</v>
      </c>
      <c r="I8" s="3">
        <f>I7*((1+_xlfn.XLOOKUP(I$2,'Interest, etc. BI and EF'!$A$2:$A$11,'Interest, etc. BI and EF'!$C$2:$C$11))^(1/2)-1)</f>
        <v>178844.61961237257</v>
      </c>
      <c r="J8" s="3">
        <f>J7*((1+_xlfn.XLOOKUP(J$2,'Interest, etc. BI and EF'!$A$2:$A$11,'Interest, etc. BI and EF'!$C$2:$C$11))^(1/2)-1)</f>
        <v>211106.4198437382</v>
      </c>
      <c r="K8" s="3">
        <f>K7*((1+_xlfn.XLOOKUP(K$2,'Interest, etc. BI and EF'!$A$2:$A$11,'Interest, etc. BI and EF'!$C$2:$C$11))^(1/2)-1)</f>
        <v>245253.87066985574</v>
      </c>
      <c r="L8" s="3">
        <f>L7*((1+_xlfn.XLOOKUP(L$2,'Interest, etc. BI and EF'!$A$2:$A$11,'Interest, etc. BI and EF'!$C$2:$C$11))^(1/2)-1)</f>
        <v>281372.56282599078</v>
      </c>
    </row>
    <row r="9" spans="1:12" ht="15">
      <c r="B9" t="s">
        <v>26</v>
      </c>
      <c r="C9" s="13">
        <f>C7+C8</f>
        <v>2368923.4007422542</v>
      </c>
      <c r="D9" s="3">
        <f t="shared" ref="D9:L9" si="2">D7+D8</f>
        <v>4887786.0780096389</v>
      </c>
      <c r="E9" s="13">
        <f t="shared" si="2"/>
        <v>7566610.7372462619</v>
      </c>
      <c r="F9" s="3">
        <f t="shared" si="2"/>
        <v>10414507.795114171</v>
      </c>
      <c r="G9" s="3">
        <f t="shared" si="2"/>
        <v>13440163.283334954</v>
      </c>
      <c r="H9" s="3">
        <f t="shared" si="2"/>
        <v>16652133.323679417</v>
      </c>
      <c r="I9" s="3">
        <f t="shared" si="2"/>
        <v>20059023.359441079</v>
      </c>
      <c r="J9" s="3">
        <f t="shared" si="2"/>
        <v>23669599.47054169</v>
      </c>
      <c r="K9" s="3">
        <f t="shared" si="2"/>
        <v>27492858.968956992</v>
      </c>
      <c r="L9" s="13">
        <f t="shared" si="2"/>
        <v>31538077.425906342</v>
      </c>
    </row>
    <row r="12" spans="1:12">
      <c r="A12" s="2"/>
      <c r="B12" s="2" t="s">
        <v>30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</row>
    <row r="13" spans="1:12">
      <c r="B13" t="s">
        <v>20</v>
      </c>
      <c r="C13" s="3">
        <v>0</v>
      </c>
      <c r="D13" s="3">
        <f>C19</f>
        <v>9316398.1620514877</v>
      </c>
      <c r="E13" s="3">
        <f t="shared" ref="E13:L13" si="3">D19</f>
        <v>19242586.153564967</v>
      </c>
      <c r="F13" s="3">
        <f t="shared" si="3"/>
        <v>29811659.368683472</v>
      </c>
      <c r="G13" s="3">
        <f t="shared" si="3"/>
        <v>41055585.882512465</v>
      </c>
      <c r="H13" s="3">
        <f t="shared" si="3"/>
        <v>53006191.675281689</v>
      </c>
      <c r="I13" s="3">
        <f t="shared" si="3"/>
        <v>65695740.835987628</v>
      </c>
      <c r="J13" s="3">
        <f t="shared" si="3"/>
        <v>79157283.207125649</v>
      </c>
      <c r="K13" s="3">
        <f t="shared" si="3"/>
        <v>93424869.889490068</v>
      </c>
      <c r="L13" s="3">
        <f t="shared" si="3"/>
        <v>108533693.54196197</v>
      </c>
    </row>
    <row r="14" spans="1:12" ht="15">
      <c r="B14" t="s">
        <v>21</v>
      </c>
      <c r="C14" s="4">
        <v>108505130</v>
      </c>
      <c r="D14" s="3">
        <f>$C14*_xlfn.XLOOKUP(D12,'Interest, etc. BI and EF'!$A$2:$A$11,'Interest, etc. BI and EF'!$I$2:$I$11)</f>
        <v>113724109.11425339</v>
      </c>
      <c r="E14" s="3">
        <f>$C14*_xlfn.XLOOKUP(E12,'Interest, etc. BI and EF'!$A$2:$A$11,'Interest, etc. BI and EF'!$I$2:$I$11)</f>
        <v>119163677.11160955</v>
      </c>
      <c r="F14" s="3">
        <f>$C14*_xlfn.XLOOKUP(F12,'Interest, etc. BI and EF'!$A$2:$A$11,'Interest, etc. BI and EF'!$I$2:$I$11)</f>
        <v>124821192.54288398</v>
      </c>
      <c r="G14" s="3">
        <f>$C14*_xlfn.XLOOKUP(G12,'Interest, etc. BI and EF'!$A$2:$A$11,'Interest, etc. BI and EF'!$I$2:$I$11)</f>
        <v>130697688.54153197</v>
      </c>
      <c r="H14" s="3">
        <f>$C14*_xlfn.XLOOKUP(H12,'Interest, etc. BI and EF'!$A$2:$A$11,'Interest, etc. BI and EF'!$I$2:$I$11)</f>
        <v>136796563.27179992</v>
      </c>
      <c r="I14" s="3">
        <f>$C14*_xlfn.XLOOKUP(I12,'Interest, etc. BI and EF'!$A$2:$A$11,'Interest, etc. BI and EF'!$I$2:$I$11)</f>
        <v>143122769.56121227</v>
      </c>
      <c r="J14" s="3">
        <f>$C14*_xlfn.XLOOKUP(J12,'Interest, etc. BI and EF'!$A$2:$A$11,'Interest, etc. BI and EF'!$I$2:$I$11)</f>
        <v>149682314.49980772</v>
      </c>
      <c r="K14" s="3">
        <f>$C14*_xlfn.XLOOKUP(K12,'Interest, etc. BI and EF'!$A$2:$A$11,'Interest, etc. BI and EF'!$I$2:$I$11)</f>
        <v>156481950.62809771</v>
      </c>
      <c r="L14" s="3">
        <f>$C14*_xlfn.XLOOKUP(L12,'Interest, etc. BI and EF'!$A$2:$A$11,'Interest, etc. BI and EF'!$I$2:$I$11)</f>
        <v>163528987.26561838</v>
      </c>
    </row>
    <row r="15" spans="1:12">
      <c r="A15" t="s">
        <v>27</v>
      </c>
      <c r="B15" t="s">
        <v>28</v>
      </c>
      <c r="C15" s="3">
        <f>(C13+C14)*((1+_xlfn.XLOOKUP(C$12,'Interest, etc. BI and EF'!$A$2:$A$11,'Interest, etc. BI and EF'!$C$2:$C$11))^(1/2)-1)</f>
        <v>958223.29282650084</v>
      </c>
      <c r="D15" s="3">
        <f>(D13+D14)*((1+_xlfn.XLOOKUP(D$12,'Interest, etc. BI and EF'!$A$2:$A$11,'Interest, etc. BI and EF'!$C$2:$C$11))^(1/2)-1)</f>
        <v>1095248.6303688555</v>
      </c>
      <c r="E15" s="3">
        <f>(E13+E14)*((1+_xlfn.XLOOKUP(E$12,'Interest, etc. BI and EF'!$A$2:$A$11,'Interest, etc. BI and EF'!$C$2:$C$11))^(1/2)-1)</f>
        <v>1237791.7504240954</v>
      </c>
      <c r="F15" s="3">
        <f>(F13+F14)*((1+_xlfn.XLOOKUP(F$12,'Interest, etc. BI and EF'!$A$2:$A$11,'Interest, etc. BI and EF'!$C$2:$C$11))^(1/2)-1)</f>
        <v>1386719.3678085615</v>
      </c>
      <c r="G15" s="3">
        <f>(G13+G14)*((1+_xlfn.XLOOKUP(G$12,'Interest, etc. BI and EF'!$A$2:$A$11,'Interest, etc. BI and EF'!$C$2:$C$11))^(1/2)-1)</f>
        <v>1542756.228351278</v>
      </c>
      <c r="H15" s="3">
        <f>(H13+H14)*((1+_xlfn.XLOOKUP(H$12,'Interest, etc. BI and EF'!$A$2:$A$11,'Interest, etc. BI and EF'!$C$2:$C$11))^(1/2)-1)</f>
        <v>1706521.0767853085</v>
      </c>
      <c r="I15" s="3">
        <f>(I13+I14)*((1+_xlfn.XLOOKUP(I$12,'Interest, etc. BI and EF'!$A$2:$A$11,'Interest, etc. BI and EF'!$C$2:$C$11))^(1/2)-1)</f>
        <v>1878557.9118153979</v>
      </c>
      <c r="J15" s="3">
        <f>(J13+J14)*((1+_xlfn.XLOOKUP(J$12,'Interest, etc. BI and EF'!$A$2:$A$11,'Interest, etc. BI and EF'!$C$2:$C$11))^(1/2)-1)</f>
        <v>2059361.1058471077</v>
      </c>
      <c r="K15" s="3">
        <f>(K13+K14)*((1+_xlfn.XLOOKUP(K$12,'Interest, etc. BI and EF'!$A$2:$A$11,'Interest, etc. BI and EF'!$C$2:$C$11))^(1/2)-1)</f>
        <v>2249394.5731248222</v>
      </c>
      <c r="L15" s="3">
        <f>(L13+L14)*((1+_xlfn.XLOOKUP(L$12,'Interest, etc. BI and EF'!$A$2:$A$11,'Interest, etc. BI and EF'!$C$2:$C$11))^(1/2)-1)</f>
        <v>2449105.6905540447</v>
      </c>
    </row>
    <row r="16" spans="1:12">
      <c r="A16" t="s">
        <v>31</v>
      </c>
      <c r="B16" t="s">
        <v>23</v>
      </c>
      <c r="C16" s="4">
        <f>99029946*_xlfn.XLOOKUP(C12,'Interest, etc. BI and EF'!$A$2:$A$11,'Interest, etc. BI and EF'!$L$2:$L$11)</f>
        <v>100228509.27154981</v>
      </c>
      <c r="D16" s="5">
        <f>$C16*_xlfn.XLOOKUP(D12,'Interest, etc. BI and EF'!$A$2:$A$11,'Interest, etc. BI and EF'!$L$2:$L$11)/_xlfn.XLOOKUP($C12,'Interest, etc. BI and EF'!$A$2:$A$11,'Interest, etc. BI and EF'!$L$2:$L$11)</f>
        <v>105062946.9134081</v>
      </c>
      <c r="E16" s="5">
        <f>$C16*_xlfn.XLOOKUP(E12,'Interest, etc. BI and EF'!$A$2:$A$11,'Interest, etc. BI and EF'!$L$2:$L$11)/_xlfn.XLOOKUP($C12,'Interest, etc. BI and EF'!$A$2:$A$11,'Interest, etc. BI and EF'!$L$2:$L$11)</f>
        <v>110096643.38756464</v>
      </c>
      <c r="F16" s="5">
        <f>$C16*_xlfn.XLOOKUP(F12,'Interest, etc. BI and EF'!$A$2:$A$11,'Interest, etc. BI and EF'!$L$2:$L$11)/_xlfn.XLOOKUP($C12,'Interest, etc. BI and EF'!$A$2:$A$11,'Interest, etc. BI and EF'!$L$2:$L$11)</f>
        <v>115328892.02769937</v>
      </c>
      <c r="G16" s="5">
        <f>$C16*_xlfn.XLOOKUP(G12,'Interest, etc. BI and EF'!$A$2:$A$11,'Interest, etc. BI and EF'!$L$2:$L$11)/_xlfn.XLOOKUP($C12,'Interest, etc. BI and EF'!$A$2:$A$11,'Interest, etc. BI and EF'!$L$2:$L$11)</f>
        <v>120761723.02454641</v>
      </c>
      <c r="H16" s="5">
        <f>$C16*_xlfn.XLOOKUP(H12,'Interest, etc. BI and EF'!$A$2:$A$11,'Interest, etc. BI and EF'!$L$2:$L$11)/_xlfn.XLOOKUP($C12,'Interest, etc. BI and EF'!$A$2:$A$11,'Interest, etc. BI and EF'!$L$2:$L$11)</f>
        <v>126398943.73162872</v>
      </c>
      <c r="I16" s="5">
        <f>$C16*_xlfn.XLOOKUP(I12,'Interest, etc. BI and EF'!$A$2:$A$11,'Interest, etc. BI and EF'!$L$2:$L$11)/_xlfn.XLOOKUP($C12,'Interest, etc. BI and EF'!$A$2:$A$11,'Interest, etc. BI and EF'!$L$2:$L$11)</f>
        <v>132245544.99613017</v>
      </c>
      <c r="J16" s="5">
        <f>$C16*_xlfn.XLOOKUP(J12,'Interest, etc. BI and EF'!$A$2:$A$11,'Interest, etc. BI and EF'!$L$2:$L$11)/_xlfn.XLOOKUP($C12,'Interest, etc. BI and EF'!$A$2:$A$11,'Interest, etc. BI and EF'!$L$2:$L$11)</f>
        <v>138307334.53149277</v>
      </c>
      <c r="K16" s="5">
        <f>$C16*_xlfn.XLOOKUP(K12,'Interest, etc. BI and EF'!$A$2:$A$11,'Interest, etc. BI and EF'!$L$2:$L$11)/_xlfn.XLOOKUP($C12,'Interest, etc. BI and EF'!$A$2:$A$11,'Interest, etc. BI and EF'!$L$2:$L$11)</f>
        <v>144590711.45105645</v>
      </c>
      <c r="L16" s="5">
        <f>$C16*_xlfn.XLOOKUP(L12,'Interest, etc. BI and EF'!$A$2:$A$11,'Interest, etc. BI and EF'!$L$2:$L$11)/_xlfn.XLOOKUP($C12,'Interest, etc. BI and EF'!$A$2:$A$11,'Interest, etc. BI and EF'!$L$2:$L$11)</f>
        <v>151102528.48465908</v>
      </c>
    </row>
    <row r="17" spans="1:12">
      <c r="B17" t="s">
        <v>24</v>
      </c>
      <c r="C17" s="3">
        <f>C13+C14+C15-C16</f>
        <v>9234844.0212766975</v>
      </c>
      <c r="D17" s="3">
        <f t="shared" ref="D17:L17" si="4">D13+D14+D15-D16</f>
        <v>19072808.993265629</v>
      </c>
      <c r="E17" s="3">
        <f t="shared" si="4"/>
        <v>29547411.628033951</v>
      </c>
      <c r="F17" s="3">
        <f t="shared" si="4"/>
        <v>40690679.251676634</v>
      </c>
      <c r="G17" s="3">
        <f t="shared" si="4"/>
        <v>52534307.627849281</v>
      </c>
      <c r="H17" s="3">
        <f t="shared" si="4"/>
        <v>65110332.292238206</v>
      </c>
      <c r="I17" s="3">
        <f t="shared" si="4"/>
        <v>78451523.312885135</v>
      </c>
      <c r="J17" s="3">
        <f t="shared" si="4"/>
        <v>92591624.28128773</v>
      </c>
      <c r="K17" s="3">
        <f t="shared" si="4"/>
        <v>107565503.63965616</v>
      </c>
      <c r="L17" s="3">
        <f t="shared" si="4"/>
        <v>123409258.0134753</v>
      </c>
    </row>
    <row r="18" spans="1:12">
      <c r="B18" t="s">
        <v>25</v>
      </c>
      <c r="C18" s="3">
        <f>C17*((1+_xlfn.XLOOKUP(C$12,'Interest, etc. BI and EF'!$A$2:$A$11,'Interest, etc. BI and EF'!$C$2:$C$11))^(1/2)-1)</f>
        <v>81554.140774789921</v>
      </c>
      <c r="D18" s="3">
        <f>D17*((1+_xlfn.XLOOKUP(D$12,'Interest, etc. BI and EF'!$A$2:$A$11,'Interest, etc. BI and EF'!$C$2:$C$11))^(1/2)-1)</f>
        <v>169777.16029933715</v>
      </c>
      <c r="E18" s="3">
        <f>E17*((1+_xlfn.XLOOKUP(E$12,'Interest, etc. BI and EF'!$A$2:$A$11,'Interest, etc. BI and EF'!$C$2:$C$11))^(1/2)-1)</f>
        <v>264247.74064952281</v>
      </c>
      <c r="F18" s="3">
        <f>F17*((1+_xlfn.XLOOKUP(F$12,'Interest, etc. BI and EF'!$A$2:$A$11,'Interest, etc. BI and EF'!$C$2:$C$11))^(1/2)-1)</f>
        <v>364906.63083583041</v>
      </c>
      <c r="G18" s="3">
        <f>G17*((1+_xlfn.XLOOKUP(G$12,'Interest, etc. BI and EF'!$A$2:$A$11,'Interest, etc. BI and EF'!$C$2:$C$11))^(1/2)-1)</f>
        <v>471884.0474324043</v>
      </c>
      <c r="H18" s="3">
        <f>H17*((1+_xlfn.XLOOKUP(H$12,'Interest, etc. BI and EF'!$A$2:$A$11,'Interest, etc. BI and EF'!$C$2:$C$11))^(1/2)-1)</f>
        <v>585408.54374942265</v>
      </c>
      <c r="I18" s="3">
        <f>I17*((1+_xlfn.XLOOKUP(I$12,'Interest, etc. BI and EF'!$A$2:$A$11,'Interest, etc. BI and EF'!$C$2:$C$11))^(1/2)-1)</f>
        <v>705759.89424051892</v>
      </c>
      <c r="J18" s="3">
        <f>J17*((1+_xlfn.XLOOKUP(J$12,'Interest, etc. BI and EF'!$A$2:$A$11,'Interest, etc. BI and EF'!$C$2:$C$11))^(1/2)-1)</f>
        <v>833245.60820234043</v>
      </c>
      <c r="K18" s="3">
        <f>K17*((1+_xlfn.XLOOKUP(K$12,'Interest, etc. BI and EF'!$A$2:$A$11,'Interest, etc. BI and EF'!$C$2:$C$11))^(1/2)-1)</f>
        <v>968189.90230581781</v>
      </c>
      <c r="L18" s="3">
        <f>L17*((1+_xlfn.XLOOKUP(L$12,'Interest, etc. BI and EF'!$A$2:$A$11,'Interest, etc. BI and EF'!$C$2:$C$11))^(1/2)-1)</f>
        <v>1110928.9784644123</v>
      </c>
    </row>
    <row r="19" spans="1:12" ht="15">
      <c r="B19" t="s">
        <v>26</v>
      </c>
      <c r="C19" s="13">
        <f>C17+C18</f>
        <v>9316398.1620514877</v>
      </c>
      <c r="D19" s="3">
        <f t="shared" ref="D19:L19" si="5">D17+D18</f>
        <v>19242586.153564967</v>
      </c>
      <c r="E19" s="13">
        <f t="shared" si="5"/>
        <v>29811659.368683472</v>
      </c>
      <c r="F19" s="3">
        <f t="shared" si="5"/>
        <v>41055585.882512465</v>
      </c>
      <c r="G19" s="3">
        <f t="shared" si="5"/>
        <v>53006191.675281689</v>
      </c>
      <c r="H19" s="3">
        <f t="shared" si="5"/>
        <v>65695740.835987628</v>
      </c>
      <c r="I19" s="3">
        <f t="shared" si="5"/>
        <v>79157283.207125649</v>
      </c>
      <c r="J19" s="3">
        <f t="shared" si="5"/>
        <v>93424869.889490068</v>
      </c>
      <c r="K19" s="3">
        <f t="shared" si="5"/>
        <v>108533693.54196197</v>
      </c>
      <c r="L19" s="13">
        <f t="shared" si="5"/>
        <v>124520186.99193971</v>
      </c>
    </row>
    <row r="21" spans="1:12">
      <c r="A21" s="2"/>
      <c r="B21" s="2" t="s">
        <v>32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</row>
    <row r="22" spans="1:12">
      <c r="B22" t="s">
        <v>20</v>
      </c>
      <c r="C22" s="3">
        <v>0</v>
      </c>
      <c r="D22" s="3">
        <f>C28</f>
        <v>-4755399.7555989055</v>
      </c>
      <c r="E22" s="3">
        <f t="shared" ref="E22:L22" si="6">D28</f>
        <v>-9832416.3115640022</v>
      </c>
      <c r="F22" s="3">
        <f t="shared" si="6"/>
        <v>-15244686.967852339</v>
      </c>
      <c r="G22" s="3">
        <f t="shared" si="6"/>
        <v>-21006540.809339099</v>
      </c>
      <c r="H22" s="3">
        <f t="shared" si="6"/>
        <v>-27133020.781615641</v>
      </c>
      <c r="I22" s="3">
        <f t="shared" si="6"/>
        <v>-33639882.217892811</v>
      </c>
      <c r="J22" s="3">
        <f t="shared" si="6"/>
        <v>-40543586.307755873</v>
      </c>
      <c r="K22" s="3">
        <f t="shared" si="6"/>
        <v>-47861295.623908699</v>
      </c>
      <c r="L22" s="3">
        <f t="shared" si="6"/>
        <v>-55610875.005438872</v>
      </c>
    </row>
    <row r="23" spans="1:12" ht="15">
      <c r="B23" t="s">
        <v>21</v>
      </c>
      <c r="C23" s="4">
        <v>108505130</v>
      </c>
      <c r="D23" s="3">
        <f>$C23*_xlfn.XLOOKUP(D21,'Interest, etc. BI and EF'!$A$2:$A$11,'Interest, etc. BI and EF'!$I$2:$I$11)</f>
        <v>113724109.11425339</v>
      </c>
      <c r="E23" s="3">
        <f>$C23*_xlfn.XLOOKUP(E21,'Interest, etc. BI and EF'!$A$2:$A$11,'Interest, etc. BI and EF'!$I$2:$I$11)</f>
        <v>119163677.11160955</v>
      </c>
      <c r="F23" s="3">
        <f>$C23*_xlfn.XLOOKUP(F21,'Interest, etc. BI and EF'!$A$2:$A$11,'Interest, etc. BI and EF'!$I$2:$I$11)</f>
        <v>124821192.54288398</v>
      </c>
      <c r="G23" s="3">
        <f>$C23*_xlfn.XLOOKUP(G21,'Interest, etc. BI and EF'!$A$2:$A$11,'Interest, etc. BI and EF'!$I$2:$I$11)</f>
        <v>130697688.54153197</v>
      </c>
      <c r="H23" s="3">
        <f>$C23*_xlfn.XLOOKUP(H21,'Interest, etc. BI and EF'!$A$2:$A$11,'Interest, etc. BI and EF'!$I$2:$I$11)</f>
        <v>136796563.27179992</v>
      </c>
      <c r="I23" s="3">
        <f>$C23*_xlfn.XLOOKUP(I21,'Interest, etc. BI and EF'!$A$2:$A$11,'Interest, etc. BI and EF'!$I$2:$I$11)</f>
        <v>143122769.56121227</v>
      </c>
      <c r="J23" s="3">
        <f>$C23*_xlfn.XLOOKUP(J21,'Interest, etc. BI and EF'!$A$2:$A$11,'Interest, etc. BI and EF'!$I$2:$I$11)</f>
        <v>149682314.49980772</v>
      </c>
      <c r="K23" s="3">
        <f>$C23*_xlfn.XLOOKUP(K21,'Interest, etc. BI and EF'!$A$2:$A$11,'Interest, etc. BI and EF'!$I$2:$I$11)</f>
        <v>156481950.62809771</v>
      </c>
      <c r="L23" s="3">
        <f>$C23*_xlfn.XLOOKUP(L21,'Interest, etc. BI and EF'!$A$2:$A$11,'Interest, etc. BI and EF'!$I$2:$I$11)</f>
        <v>163528987.26561838</v>
      </c>
    </row>
    <row r="24" spans="1:12">
      <c r="B24" t="s">
        <v>28</v>
      </c>
      <c r="C24" s="3">
        <f>(C22+C23)*((1+_xlfn.XLOOKUP(C$21,'Interest, etc. BI and EF'!$A$2:$A$11,'Interest, etc. BI and EF'!$C$2:$C$11))^(1/2)-1)</f>
        <v>958223.29282650084</v>
      </c>
      <c r="D24" s="3">
        <f>(D22+D23)*((1+_xlfn.XLOOKUP(D$21,'Interest, etc. BI and EF'!$A$2:$A$11,'Interest, etc. BI and EF'!$C$2:$C$11))^(1/2)-1)</f>
        <v>969988.11464679497</v>
      </c>
      <c r="E24" s="3">
        <f>(E22+E23)*((1+_xlfn.XLOOKUP(E$21,'Interest, etc. BI and EF'!$A$2:$A$11,'Interest, etc. BI and EF'!$C$2:$C$11))^(1/2)-1)</f>
        <v>977768.84867184283</v>
      </c>
      <c r="F24" s="3">
        <f>(F22+F23)*((1+_xlfn.XLOOKUP(F$21,'Interest, etc. BI and EF'!$A$2:$A$11,'Interest, etc. BI and EF'!$C$2:$C$11))^(1/2)-1)</f>
        <v>982662.22642377776</v>
      </c>
      <c r="G24" s="3">
        <f>(G22+G23)*((1+_xlfn.XLOOKUP(G$21,'Interest, etc. BI and EF'!$A$2:$A$11,'Interest, etc. BI and EF'!$C$2:$C$11))^(1/2)-1)</f>
        <v>985289.52025120752</v>
      </c>
      <c r="H24" s="3">
        <f>(H22+H23)*((1+_xlfn.XLOOKUP(H$21,'Interest, etc. BI and EF'!$A$2:$A$11,'Interest, etc. BI and EF'!$C$2:$C$11))^(1/2)-1)</f>
        <v>985987.51459965669</v>
      </c>
      <c r="I24" s="3">
        <f>(I22+I23)*((1+_xlfn.XLOOKUP(I$21,'Interest, etc. BI and EF'!$A$2:$A$11,'Interest, etc. BI and EF'!$C$2:$C$11))^(1/2)-1)</f>
        <v>984921.99679030245</v>
      </c>
      <c r="J24" s="3">
        <f>(J22+J23)*((1+_xlfn.XLOOKUP(J$21,'Interest, etc. BI and EF'!$A$2:$A$11,'Interest, etc. BI and EF'!$C$2:$C$11))^(1/2)-1)</f>
        <v>982155.42341657041</v>
      </c>
      <c r="K24" s="3">
        <f>(K22+K23)*((1+_xlfn.XLOOKUP(K$21,'Interest, etc. BI and EF'!$A$2:$A$11,'Interest, etc. BI and EF'!$C$2:$C$11))^(1/2)-1)</f>
        <v>977687.24915009271</v>
      </c>
      <c r="L24" s="3">
        <f>(L22+L23)*((1+_xlfn.XLOOKUP(L$21,'Interest, etc. BI and EF'!$A$2:$A$11,'Interest, etc. BI and EF'!$C$2:$C$11))^(1/2)-1)</f>
        <v>971477.83027686656</v>
      </c>
    </row>
    <row r="25" spans="1:12">
      <c r="B25" t="s">
        <v>23</v>
      </c>
      <c r="C25" s="4">
        <f>112811760*_xlfn.XLOOKUP(C21,'Interest, etc. BI and EF'!$A$2:$A$11,'Interest, etc. BI and EF'!$L$2:$L$11)</f>
        <v>114177125.10011721</v>
      </c>
      <c r="D25" s="5">
        <f>$C25*_xlfn.XLOOKUP(D21,'Interest, etc. BI and EF'!$A$2:$A$11,'Interest, etc. BI and EF'!$L$2:$L$11)/_xlfn.XLOOKUP($C21,'Interest, etc. BI and EF'!$A$2:$A$11,'Interest, etc. BI and EF'!$L$2:$L$11)</f>
        <v>119684362.46636078</v>
      </c>
      <c r="E25" s="5">
        <f>$C25*_xlfn.XLOOKUP(E21,'Interest, etc. BI and EF'!$A$2:$A$11,'Interest, etc. BI and EF'!$L$2:$L$11)/_xlfn.XLOOKUP($C21,'Interest, etc. BI and EF'!$A$2:$A$11,'Interest, etc. BI and EF'!$L$2:$L$11)</f>
        <v>125418589.14720128</v>
      </c>
      <c r="F25" s="5">
        <f>$C25*_xlfn.XLOOKUP(F21,'Interest, etc. BI and EF'!$A$2:$A$11,'Interest, etc. BI and EF'!$L$2:$L$11)/_xlfn.XLOOKUP($C21,'Interest, etc. BI and EF'!$A$2:$A$11,'Interest, etc. BI and EF'!$L$2:$L$11)</f>
        <v>131379000.1308769</v>
      </c>
      <c r="G25" s="5">
        <f>$C25*_xlfn.XLOOKUP(G21,'Interest, etc. BI and EF'!$A$2:$A$11,'Interest, etc. BI and EF'!$L$2:$L$11)/_xlfn.XLOOKUP($C21,'Interest, etc. BI and EF'!$A$2:$A$11,'Interest, etc. BI and EF'!$L$2:$L$11)</f>
        <v>137567908.14600265</v>
      </c>
      <c r="H25" s="5">
        <f>$C25*_xlfn.XLOOKUP(H21,'Interest, etc. BI and EF'!$A$2:$A$11,'Interest, etc. BI and EF'!$L$2:$L$11)/_xlfn.XLOOKUP($C21,'Interest, etc. BI and EF'!$A$2:$A$11,'Interest, etc. BI and EF'!$L$2:$L$11)</f>
        <v>143989650.40843305</v>
      </c>
      <c r="I25" s="5">
        <f>$C25*_xlfn.XLOOKUP(I21,'Interest, etc. BI and EF'!$A$2:$A$11,'Interest, etc. BI and EF'!$L$2:$L$11)/_xlfn.XLOOKUP($C21,'Interest, etc. BI and EF'!$A$2:$A$11,'Interest, etc. BI and EF'!$L$2:$L$11)</f>
        <v>150649912.33230236</v>
      </c>
      <c r="J25" s="5">
        <f>$C25*_xlfn.XLOOKUP(J21,'Interest, etc. BI and EF'!$A$2:$A$11,'Interest, etc. BI and EF'!$L$2:$L$11)/_xlfn.XLOOKUP($C21,'Interest, etc. BI and EF'!$A$2:$A$11,'Interest, etc. BI and EF'!$L$2:$L$11)</f>
        <v>157555309.87976581</v>
      </c>
      <c r="K25" s="5">
        <f>$C25*_xlfn.XLOOKUP(K21,'Interest, etc. BI and EF'!$A$2:$A$11,'Interest, etc. BI and EF'!$L$2:$L$11)/_xlfn.XLOOKUP($C21,'Interest, etc. BI and EF'!$A$2:$A$11,'Interest, etc. BI and EF'!$L$2:$L$11)</f>
        <v>164713132.71690398</v>
      </c>
      <c r="L25" s="5">
        <f>$C25*_xlfn.XLOOKUP(L21,'Interest, etc. BI and EF'!$A$2:$A$11,'Interest, etc. BI and EF'!$L$2:$L$11)/_xlfn.XLOOKUP($C21,'Interest, etc. BI and EF'!$A$2:$A$11,'Interest, etc. BI and EF'!$L$2:$L$11)</f>
        <v>172131187.2552624</v>
      </c>
    </row>
    <row r="26" spans="1:12">
      <c r="B26" t="s">
        <v>24</v>
      </c>
      <c r="C26" s="3">
        <f>C22+C23+C24-C25</f>
        <v>-4713771.8072907031</v>
      </c>
      <c r="D26" s="3">
        <f t="shared" ref="D26:L26" si="7">D22+D23+D24-D25</f>
        <v>-9745664.9930595011</v>
      </c>
      <c r="E26" s="3">
        <f t="shared" si="7"/>
        <v>-15109559.498483896</v>
      </c>
      <c r="F26" s="3">
        <f t="shared" si="7"/>
        <v>-20819832.329421476</v>
      </c>
      <c r="G26" s="3">
        <f t="shared" si="7"/>
        <v>-26891470.893558562</v>
      </c>
      <c r="H26" s="3">
        <f t="shared" si="7"/>
        <v>-33340120.403649122</v>
      </c>
      <c r="I26" s="3">
        <f t="shared" si="7"/>
        <v>-40182102.992192596</v>
      </c>
      <c r="J26" s="3">
        <f t="shared" si="7"/>
        <v>-47434426.264297396</v>
      </c>
      <c r="K26" s="3">
        <f t="shared" si="7"/>
        <v>-55114790.463564873</v>
      </c>
      <c r="L26" s="3">
        <f t="shared" si="7"/>
        <v>-63241597.164806023</v>
      </c>
    </row>
    <row r="27" spans="1:12">
      <c r="B27" t="s">
        <v>25</v>
      </c>
      <c r="C27" s="3">
        <f>C26*((1+_xlfn.XLOOKUP(C$21,'Interest, etc. BI and EF'!$A$2:$A$11,'Interest, etc. BI and EF'!$C$2:$C$11))^(1/2)-1)</f>
        <v>-41627.948308202787</v>
      </c>
      <c r="D27" s="3">
        <f>D26*((1+_xlfn.XLOOKUP(D$21,'Interest, etc. BI and EF'!$A$2:$A$11,'Interest, etc. BI and EF'!$C$2:$C$11))^(1/2)-1)</f>
        <v>-86751.318504501207</v>
      </c>
      <c r="E27" s="3">
        <f>E26*((1+_xlfn.XLOOKUP(E$21,'Interest, etc. BI and EF'!$A$2:$A$11,'Interest, etc. BI and EF'!$C$2:$C$11))^(1/2)-1)</f>
        <v>-135127.46936844208</v>
      </c>
      <c r="F27" s="3">
        <f>F26*((1+_xlfn.XLOOKUP(F$21,'Interest, etc. BI and EF'!$A$2:$A$11,'Interest, etc. BI and EF'!$C$2:$C$11))^(1/2)-1)</f>
        <v>-186708.47991762258</v>
      </c>
      <c r="G27" s="3">
        <f>G26*((1+_xlfn.XLOOKUP(G$21,'Interest, etc. BI and EF'!$A$2:$A$11,'Interest, etc. BI and EF'!$C$2:$C$11))^(1/2)-1)</f>
        <v>-241549.88805707829</v>
      </c>
      <c r="H27" s="3">
        <f>H26*((1+_xlfn.XLOOKUP(H$21,'Interest, etc. BI and EF'!$A$2:$A$11,'Interest, etc. BI and EF'!$C$2:$C$11))^(1/2)-1)</f>
        <v>-299761.81424368703</v>
      </c>
      <c r="I27" s="3">
        <f>I26*((1+_xlfn.XLOOKUP(I$21,'Interest, etc. BI and EF'!$A$2:$A$11,'Interest, etc. BI and EF'!$C$2:$C$11))^(1/2)-1)</f>
        <v>-361483.31556327763</v>
      </c>
      <c r="J27" s="3">
        <f>J26*((1+_xlfn.XLOOKUP(J$21,'Interest, etc. BI and EF'!$A$2:$A$11,'Interest, etc. BI and EF'!$C$2:$C$11))^(1/2)-1)</f>
        <v>-426869.3596113018</v>
      </c>
      <c r="K27" s="3">
        <f>K26*((1+_xlfn.XLOOKUP(K$21,'Interest, etc. BI and EF'!$A$2:$A$11,'Interest, etc. BI and EF'!$C$2:$C$11))^(1/2)-1)</f>
        <v>-496084.5418739962</v>
      </c>
      <c r="L27" s="3">
        <f>L26*((1+_xlfn.XLOOKUP(L$21,'Interest, etc. BI and EF'!$A$2:$A$11,'Interest, etc. BI and EF'!$C$2:$C$11))^(1/2)-1)</f>
        <v>-569300.26211716083</v>
      </c>
    </row>
    <row r="28" spans="1:12" ht="15">
      <c r="B28" t="s">
        <v>26</v>
      </c>
      <c r="C28" s="13">
        <f>C26+C27</f>
        <v>-4755399.7555989055</v>
      </c>
      <c r="D28" s="3">
        <f t="shared" ref="D28:L28" si="8">D26+D27</f>
        <v>-9832416.3115640022</v>
      </c>
      <c r="E28" s="13">
        <f t="shared" si="8"/>
        <v>-15244686.967852339</v>
      </c>
      <c r="F28" s="3">
        <f t="shared" si="8"/>
        <v>-21006540.809339099</v>
      </c>
      <c r="G28" s="3">
        <f t="shared" si="8"/>
        <v>-27133020.781615641</v>
      </c>
      <c r="H28" s="3">
        <f t="shared" si="8"/>
        <v>-33639882.217892811</v>
      </c>
      <c r="I28" s="3">
        <f t="shared" si="8"/>
        <v>-40543586.307755873</v>
      </c>
      <c r="J28" s="3">
        <f t="shared" si="8"/>
        <v>-47861295.623908699</v>
      </c>
      <c r="K28" s="3">
        <f t="shared" si="8"/>
        <v>-55610875.005438872</v>
      </c>
      <c r="L28" s="13">
        <f t="shared" si="8"/>
        <v>-63810897.426923186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D627-5419-4CA0-9039-6F09151A3005}">
  <dimension ref="A1:L31"/>
  <sheetViews>
    <sheetView workbookViewId="0">
      <selection activeCell="L2" sqref="L2"/>
    </sheetView>
  </sheetViews>
  <sheetFormatPr defaultRowHeight="14.45"/>
  <cols>
    <col min="1" max="1" width="7.42578125" bestFit="1" customWidth="1"/>
    <col min="2" max="2" width="5.42578125" bestFit="1" customWidth="1"/>
    <col min="3" max="3" width="12.5703125" bestFit="1" customWidth="1"/>
    <col min="4" max="4" width="13.7109375" bestFit="1" customWidth="1"/>
    <col min="5" max="5" width="22.28515625" bestFit="1" customWidth="1"/>
    <col min="6" max="6" width="17.85546875" bestFit="1" customWidth="1"/>
    <col min="7" max="7" width="25.140625" bestFit="1" customWidth="1"/>
    <col min="8" max="8" width="19.7109375" bestFit="1" customWidth="1"/>
    <col min="9" max="9" width="33.5703125" bestFit="1" customWidth="1"/>
    <col min="10" max="10" width="20.85546875" bestFit="1" customWidth="1"/>
    <col min="11" max="11" width="15.42578125" bestFit="1" customWidth="1"/>
    <col min="12" max="12" width="29.28515625" bestFit="1" customWidth="1"/>
  </cols>
  <sheetData>
    <row r="1" spans="1:12">
      <c r="A1" t="s">
        <v>33</v>
      </c>
      <c r="B1" t="s">
        <v>15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>
        <v>1</v>
      </c>
      <c r="B2">
        <v>2175</v>
      </c>
      <c r="C2" s="7">
        <v>1.7740255999999999E-2</v>
      </c>
      <c r="D2" s="8">
        <v>2.4352561000000002E-2</v>
      </c>
      <c r="E2">
        <v>1.0249999999999999</v>
      </c>
      <c r="F2">
        <v>1.0149999999999999</v>
      </c>
      <c r="G2">
        <v>1</v>
      </c>
      <c r="H2">
        <v>1</v>
      </c>
      <c r="I2">
        <v>1</v>
      </c>
      <c r="J2">
        <f>(1+D2)^(1/2)</f>
        <v>1.0121030387267889</v>
      </c>
      <c r="K2">
        <f>(1+D2)^(1/2)</f>
        <v>1.0121030387267889</v>
      </c>
      <c r="L2">
        <f>(1+D2)^(1/2)</f>
        <v>1.0121030387267889</v>
      </c>
    </row>
    <row r="3" spans="1:12">
      <c r="A3">
        <v>2</v>
      </c>
      <c r="B3">
        <v>2176</v>
      </c>
      <c r="C3">
        <v>1.7882294999999999E-2</v>
      </c>
      <c r="D3" s="8">
        <v>2.4616932000000001E-2</v>
      </c>
      <c r="E3">
        <v>1.05</v>
      </c>
      <c r="F3">
        <v>1.03</v>
      </c>
      <c r="G3" cm="1">
        <f t="array" ref="G3">PRODUCT(1+$D$2:D2)*E2</f>
        <v>1.0499613750249999</v>
      </c>
      <c r="H3" cm="1">
        <f t="array" ref="H3">PRODUCT(1+$D$2:D2)*F2</f>
        <v>1.0397178494149999</v>
      </c>
      <c r="I3" cm="1">
        <f t="array" ref="I3">PRODUCT(1+D2:$D$2)*(1+($J$22*A2))</f>
        <v>1.0480989158231817</v>
      </c>
      <c r="J3" cm="1">
        <f t="array" ref="J3">PRODUCT(1+$D$2:D2)*((1+D3)^(1/2))*E2</f>
        <v>1.0628062193417527</v>
      </c>
      <c r="K3" cm="1">
        <f t="array" ref="K3">PRODUCT(1+$D$2:D2)*((1+D3)^(1/2))*F2</f>
        <v>1.052437378177443</v>
      </c>
      <c r="L3" cm="1">
        <f t="array" ref="L3">PRODUCT(1+$D$2:D2)*((1+D3)^(1/2))*(1+($J$22*A2))</f>
        <v>1.0609209754936966</v>
      </c>
    </row>
    <row r="4" spans="1:12">
      <c r="A4">
        <v>3</v>
      </c>
      <c r="B4">
        <v>2177</v>
      </c>
      <c r="C4">
        <v>1.7966335E-2</v>
      </c>
      <c r="D4" s="8">
        <v>2.4773351999999998E-2</v>
      </c>
      <c r="E4">
        <v>1.075</v>
      </c>
      <c r="F4">
        <v>1.0449999999999999</v>
      </c>
      <c r="G4" cm="1">
        <f t="array" ref="G4">PRODUCT(1+$D$2:D3)*E3</f>
        <v>1.1020474272550709</v>
      </c>
      <c r="H4" cm="1">
        <f t="array" ref="H4">PRODUCT(1+$D$2:D3)*F3</f>
        <v>1.0810560476883078</v>
      </c>
      <c r="I4" cm="1">
        <f t="array" ref="I4">PRODUCT(1+D$2:$D3)*(1+($J$22*A3))</f>
        <v>1.0982308127883866</v>
      </c>
      <c r="J4" cm="1">
        <f t="array" ref="J4">PRODUCT(1+$D$2:D3)*((1+D4)^(1/2))*E3</f>
        <v>1.1156146195204537</v>
      </c>
      <c r="K4" cm="1">
        <f t="array" ref="K4">PRODUCT(1+$D$2:D3)*((1+D4)^(1/2))*F3</f>
        <v>1.0943648172438736</v>
      </c>
      <c r="L4" cm="1">
        <f t="array" ref="L4">PRODUCT(1+$D$2:D3)*((1+D4)^(1/2))*(1+($J$22*A3))</f>
        <v>1.1117510191065301</v>
      </c>
    </row>
    <row r="5" spans="1:12">
      <c r="A5">
        <v>4</v>
      </c>
      <c r="B5">
        <v>2178</v>
      </c>
      <c r="C5">
        <v>1.8016059000000001E-2</v>
      </c>
      <c r="D5" s="8">
        <v>2.48659E-2</v>
      </c>
      <c r="E5">
        <v>1.1000000000000001</v>
      </c>
      <c r="F5">
        <v>1.06</v>
      </c>
      <c r="G5" cm="1">
        <f t="array" ref="G5">PRODUCT(1+$D$2:D4)*E4</f>
        <v>1.1562380940933252</v>
      </c>
      <c r="H5" cm="1">
        <f t="array" ref="H5">PRODUCT(1+$D$2:D4)*F4</f>
        <v>1.1239709844907209</v>
      </c>
      <c r="I5" cm="1">
        <f t="array" ref="I5">PRODUCT(1+D$2:$D4)*(1+($J$22*A4))</f>
        <v>1.1503713468928518</v>
      </c>
      <c r="J5" cm="1">
        <f t="array" ref="J5">PRODUCT(1+$D$2:D4)*((1+D5)^(1/2))*E4</f>
        <v>1.1705252739709107</v>
      </c>
      <c r="K5" cm="1">
        <f t="array" ref="K5">PRODUCT(1+$D$2:D4)*((1+D5)^(1/2))*F4</f>
        <v>1.1378594523717223</v>
      </c>
      <c r="L5" cm="1">
        <f t="array" ref="L5">PRODUCT(1+$D$2:D4)*((1+D5)^(1/2))*(1+($J$22*A4))</f>
        <v>1.1645860336801492</v>
      </c>
    </row>
    <row r="6" spans="1:12">
      <c r="A6">
        <v>5</v>
      </c>
      <c r="B6">
        <v>2179</v>
      </c>
      <c r="C6">
        <v>1.8045479E-2</v>
      </c>
      <c r="D6" s="8">
        <v>2.4920657999999998E-2</v>
      </c>
      <c r="E6">
        <v>1.125</v>
      </c>
      <c r="F6">
        <v>1.075</v>
      </c>
      <c r="G6" cm="1">
        <f t="array" ref="G6">PRODUCT(1+$D$2:D5)*E5</f>
        <v>1.2125468785199671</v>
      </c>
      <c r="H6" cm="1">
        <f t="array" ref="H6">PRODUCT(1+$D$2:D5)*F5</f>
        <v>1.1684542647556047</v>
      </c>
      <c r="I6" cm="1">
        <f t="array" ref="I6">PRODUCT(1+D$2:$D5)*(1+($J$22*A5))</f>
        <v>1.2045300396537193</v>
      </c>
      <c r="J6" cm="1">
        <f t="array" ref="J6">PRODUCT(1+$D$2:D5)*((1+D6)^(1/2))*E5</f>
        <v>1.2275626365960868</v>
      </c>
      <c r="K6" cm="1">
        <f t="array" ref="K6">PRODUCT(1+$D$2:D5)*((1+D6)^(1/2))*F5</f>
        <v>1.1829239952653199</v>
      </c>
      <c r="L6" cm="1">
        <f t="array" ref="L6">PRODUCT(1+$D$2:D5)*((1+D6)^(1/2))*(1+($J$22*A5))</f>
        <v>1.2194465199904927</v>
      </c>
    </row>
    <row r="7" spans="1:12">
      <c r="A7">
        <v>6</v>
      </c>
      <c r="B7">
        <v>2180</v>
      </c>
      <c r="C7">
        <v>1.8062886E-2</v>
      </c>
      <c r="D7" s="8">
        <v>2.4953056000000001E-2</v>
      </c>
      <c r="E7">
        <v>1.1499999999999999</v>
      </c>
      <c r="F7">
        <v>1.0900000000000001</v>
      </c>
      <c r="G7" cm="1">
        <f t="array" ref="G7">PRODUCT(1+$D$2:D6)*E6</f>
        <v>1.2710089887837246</v>
      </c>
      <c r="H7" cm="1">
        <f t="array" ref="H7">PRODUCT(1+$D$2:D6)*F6</f>
        <v>1.2145197003933368</v>
      </c>
      <c r="I7" cm="1">
        <f t="array" ref="I7">PRODUCT(1+D$2:$D6)*(1+($J$22*A6))</f>
        <v>1.2607382090763812</v>
      </c>
      <c r="J7" cm="1">
        <f t="array" ref="J7">PRODUCT(1+$D$2:D6)*((1+D7)^(1/2))*E6</f>
        <v>1.286769058329154</v>
      </c>
      <c r="K7" cm="1">
        <f t="array" ref="K7">PRODUCT(1+$D$2:D6)*((1+D7)^(1/2))*F6</f>
        <v>1.2295793224034139</v>
      </c>
      <c r="L7" cm="1">
        <f t="array" ref="L7">PRODUCT(1+$D$2:D6)*((1+D7)^(1/2))*(1+($J$22*A6))</f>
        <v>1.2763709245244739</v>
      </c>
    </row>
    <row r="8" spans="1:12">
      <c r="A8">
        <v>7</v>
      </c>
      <c r="B8">
        <v>2181</v>
      </c>
      <c r="C8">
        <v>1.8073184999999999E-2</v>
      </c>
      <c r="D8" s="8">
        <v>2.4972225000000001E-2</v>
      </c>
      <c r="E8">
        <v>1.175</v>
      </c>
      <c r="F8">
        <v>1.105</v>
      </c>
      <c r="G8" cm="1">
        <f t="array" ref="G8">PRODUCT(1+$D$2:D7)*E7</f>
        <v>1.3316739816408447</v>
      </c>
      <c r="H8" cm="1">
        <f t="array" ref="H8">PRODUCT(1+$D$2:D7)*F7</f>
        <v>1.262195339120453</v>
      </c>
      <c r="I8" cm="1">
        <f t="array" ref="I8">PRODUCT(1+D$2:$D7)*(1+($J$22*A7))</f>
        <v>1.3190415011825918</v>
      </c>
      <c r="J8" cm="1">
        <f t="array" ref="J8">PRODUCT(1+$D$2:D7)*((1+D8)^(1/2))*E7</f>
        <v>1.3481988830517753</v>
      </c>
      <c r="K8" cm="1">
        <f t="array" ref="K8">PRODUCT(1+$D$2:D7)*((1+D8)^(1/2))*F7</f>
        <v>1.2778580717621177</v>
      </c>
      <c r="L8" cm="1">
        <f t="array" ref="L8">PRODUCT(1+$D$2:D7)*((1+D8)^(1/2))*(1+($J$22*A7))</f>
        <v>1.335409644635474</v>
      </c>
    </row>
    <row r="9" spans="1:12">
      <c r="A9">
        <v>8</v>
      </c>
      <c r="B9">
        <v>2182</v>
      </c>
      <c r="C9">
        <v>1.8079278000000001E-2</v>
      </c>
      <c r="D9" s="8">
        <v>2.4983565999999999E-2</v>
      </c>
      <c r="E9">
        <v>1.2</v>
      </c>
      <c r="F9">
        <v>1.1200000000000001</v>
      </c>
      <c r="G9" cm="1">
        <f t="array" ref="G9">PRODUCT(1+$D$2:D8)*E8</f>
        <v>1.3946012101095699</v>
      </c>
      <c r="H9" cm="1">
        <f t="array" ref="H9">PRODUCT(1+$D$2:D8)*F8</f>
        <v>1.3115185848264466</v>
      </c>
      <c r="I9" cm="1">
        <f t="array" ref="I9">PRODUCT(1+D$2:$D8)*(1+($J$22*A8))</f>
        <v>1.379495278239911</v>
      </c>
      <c r="J9" cm="1">
        <f t="array" ref="J9">PRODUCT(1+$D$2:D8)*((1+D9)^(1/2))*E8</f>
        <v>1.4119147941456842</v>
      </c>
      <c r="K9" cm="1">
        <f t="array" ref="K9">PRODUCT(1+$D$2:D8)*((1+D9)^(1/2))*F8</f>
        <v>1.3278007213029626</v>
      </c>
      <c r="L9" cm="1">
        <f t="array" ref="L9">PRODUCT(1+$D$2:D8)*((1+D9)^(1/2))*(1+($J$22*A8))</f>
        <v>1.3966213263560983</v>
      </c>
    </row>
    <row r="10" spans="1:12">
      <c r="A10">
        <v>9</v>
      </c>
      <c r="B10">
        <v>2183</v>
      </c>
      <c r="C10">
        <v>1.8082883000000001E-2</v>
      </c>
      <c r="D10" s="8">
        <v>2.4990277000000002E-2</v>
      </c>
      <c r="E10">
        <v>1.2250000000000001</v>
      </c>
      <c r="F10">
        <v>1.135</v>
      </c>
      <c r="G10" cm="1">
        <f t="array" ref="G10">PRODUCT(1+$D$2:D9)*E9</f>
        <v>1.4598570091772141</v>
      </c>
      <c r="H10" cm="1">
        <f t="array" ref="H10">PRODUCT(1+$D$2:D9)*F9</f>
        <v>1.3625332085653998</v>
      </c>
      <c r="I10" cm="1">
        <f t="array" ref="I10">PRODUCT(1+D$2:$D9)*(1+($J$22*A9))</f>
        <v>1.4421617727023386</v>
      </c>
      <c r="J10" cm="1">
        <f t="array" ref="J10">PRODUCT(1+$D$2:D9)*((1+D10)^(1/2))*E9</f>
        <v>1.4779855641844453</v>
      </c>
      <c r="K10" cm="1">
        <f t="array" ref="K10">PRODUCT(1+$D$2:D9)*((1+D10)^(1/2))*F9</f>
        <v>1.3794531932388159</v>
      </c>
      <c r="L10" cm="1">
        <f t="array" ref="L10">PRODUCT(1+$D$2:D9)*((1+D10)^(1/2))*(1+($J$22*A9))</f>
        <v>1.4600705876488762</v>
      </c>
    </row>
    <row r="11" spans="1:12">
      <c r="A11">
        <v>10</v>
      </c>
      <c r="B11">
        <v>2184</v>
      </c>
      <c r="C11">
        <v>1.8085016999999998E-2</v>
      </c>
      <c r="D11" s="8">
        <v>2.4994247000000001E-2</v>
      </c>
      <c r="E11">
        <v>1.25</v>
      </c>
      <c r="F11">
        <v>1.1499999999999999</v>
      </c>
      <c r="G11" cm="1">
        <f t="array" ref="G11">PRODUCT(1+$D$2:D10)*E10</f>
        <v>1.5275129743881306</v>
      </c>
      <c r="H11" cm="1">
        <f t="array" ref="H11">PRODUCT(1+$D$2:D10)*F10</f>
        <v>1.4152875313718596</v>
      </c>
      <c r="I11" cm="1">
        <f t="array" ref="I11">PRODUCT(1+D$2:$D10)*(1+($J$22*A10))</f>
        <v>1.5071083483851719</v>
      </c>
      <c r="J11" cm="1">
        <f t="array" ref="J11">PRODUCT(1+$D$2:D10)*((1+D11)^(1/2))*E10</f>
        <v>1.5464846784387931</v>
      </c>
      <c r="K11" cm="1">
        <f t="array" ref="K11">PRODUCT(1+$D$2:D10)*((1+D11)^(1/2))*F10</f>
        <v>1.432865395941249</v>
      </c>
      <c r="L11" cm="1">
        <f t="array" ref="L11">PRODUCT(1+$D$2:D10)*((1+D11)^(1/2))*(1+($J$22*A10))</f>
        <v>1.5258266270756029</v>
      </c>
    </row>
    <row r="16" spans="1:12">
      <c r="G16" t="s">
        <v>44</v>
      </c>
    </row>
    <row r="17" spans="7:10">
      <c r="G17" s="14" t="s">
        <v>45</v>
      </c>
      <c r="H17" s="15" t="s">
        <v>46</v>
      </c>
      <c r="I17" s="15" t="s">
        <v>47</v>
      </c>
      <c r="J17" s="15" t="s">
        <v>48</v>
      </c>
    </row>
    <row r="18" spans="7:10">
      <c r="H18" s="12">
        <v>2580</v>
      </c>
      <c r="I18" s="12">
        <v>1290</v>
      </c>
      <c r="J18" s="12">
        <v>860</v>
      </c>
    </row>
    <row r="19" spans="7:10">
      <c r="H19">
        <v>1.25</v>
      </c>
      <c r="I19">
        <v>1.25</v>
      </c>
      <c r="J19">
        <v>1.1499999999999999</v>
      </c>
    </row>
    <row r="21" spans="7:10">
      <c r="I21" t="s">
        <v>49</v>
      </c>
      <c r="J21">
        <f>(H18*H19)/(H18+I18+J18)+(I18*I19)/(H18+I18+J18)+(J19*J18)/(H18+I18+J18)</f>
        <v>1.2318181818181817</v>
      </c>
    </row>
    <row r="22" spans="7:10">
      <c r="J22">
        <f>(J21-1)/10</f>
        <v>2.3181818181818171E-2</v>
      </c>
    </row>
    <row r="23" spans="7:10">
      <c r="G23" t="s">
        <v>50</v>
      </c>
    </row>
    <row r="24" spans="7:10">
      <c r="H24" t="s">
        <v>51</v>
      </c>
      <c r="I24" t="s">
        <v>52</v>
      </c>
      <c r="J24" t="s">
        <v>53</v>
      </c>
    </row>
    <row r="25" spans="7:10">
      <c r="H25">
        <v>30</v>
      </c>
      <c r="I25">
        <v>15</v>
      </c>
      <c r="J25">
        <v>10</v>
      </c>
    </row>
    <row r="26" spans="7:10">
      <c r="H26">
        <v>1.25</v>
      </c>
      <c r="I26">
        <v>1.25</v>
      </c>
      <c r="J26">
        <v>1.1499999999999999</v>
      </c>
    </row>
    <row r="28" spans="7:10">
      <c r="J28">
        <f>(H25*H26)/(H25+I25+J25)+(I25*I26)/(H25+I25+J25)+(J26*J25)/(H25+I25+J25)</f>
        <v>1.2318181818181817</v>
      </c>
    </row>
    <row r="29" spans="7:10">
      <c r="J29">
        <f>(J28-1)/10</f>
        <v>2.3181818181818171E-2</v>
      </c>
    </row>
    <row r="30" spans="7:10">
      <c r="J30" t="b">
        <f>J22=J29</f>
        <v>1</v>
      </c>
    </row>
    <row r="31" spans="7:10">
      <c r="J31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4D4E-58D0-4F1B-9A99-D1C9BA88C2E5}">
  <dimension ref="A1:M36"/>
  <sheetViews>
    <sheetView zoomScaleNormal="100" workbookViewId="0">
      <selection activeCell="C15" sqref="C15"/>
    </sheetView>
  </sheetViews>
  <sheetFormatPr defaultColWidth="8.85546875" defaultRowHeight="14.45"/>
  <cols>
    <col min="1" max="1" width="31.28515625" bestFit="1" customWidth="1"/>
    <col min="2" max="2" width="37.42578125" bestFit="1" customWidth="1"/>
    <col min="3" max="9" width="17.7109375" bestFit="1" customWidth="1"/>
    <col min="10" max="13" width="17.28515625" bestFit="1" customWidth="1"/>
    <col min="14" max="14" width="14.140625" customWidth="1"/>
  </cols>
  <sheetData>
    <row r="1" spans="1:13">
      <c r="A1" s="9" t="s">
        <v>55</v>
      </c>
    </row>
    <row r="2" spans="1:13">
      <c r="A2" s="2"/>
      <c r="B2" s="2" t="s">
        <v>30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3">
      <c r="B3" t="s">
        <v>20</v>
      </c>
      <c r="C3" s="4">
        <v>0</v>
      </c>
      <c r="D3" s="3">
        <f>C9</f>
        <v>8558981.3071171641</v>
      </c>
      <c r="E3" s="3">
        <f t="shared" ref="E3:M3" si="0">D9</f>
        <v>17681043.09630258</v>
      </c>
      <c r="F3" s="3">
        <f t="shared" si="0"/>
        <v>27394988.538116992</v>
      </c>
      <c r="G3" s="3">
        <f t="shared" si="0"/>
        <v>37729153.537741654</v>
      </c>
      <c r="H3" s="3">
        <f t="shared" si="0"/>
        <v>48712094.093964905</v>
      </c>
      <c r="I3" s="3">
        <f t="shared" si="0"/>
        <v>60372984.313794725</v>
      </c>
      <c r="J3" s="3">
        <f t="shared" si="0"/>
        <v>72741852.167087138</v>
      </c>
      <c r="K3" s="3">
        <f t="shared" si="0"/>
        <v>85849725.302146554</v>
      </c>
      <c r="L3" s="3">
        <f t="shared" si="0"/>
        <v>99728727.584156767</v>
      </c>
      <c r="M3" s="3">
        <f t="shared" si="0"/>
        <v>114412149.23522553</v>
      </c>
    </row>
    <row r="4" spans="1:13">
      <c r="B4" t="s">
        <v>56</v>
      </c>
      <c r="C4" s="10">
        <f>'Summary WC'!$B$8</f>
        <v>25238578</v>
      </c>
      <c r="D4" s="3">
        <f>$C4*(_xlfn.XLOOKUP(C2, 'Interest and Inflation WC'!$A$2:$A$11, 'Interest and Inflation WC'!$F$2:$F$11))*(_xlfn.XLOOKUP(C2, 'Interest and Inflation WC'!$A$2:$A$11, 'Interest and Inflation WC'!$K$2:$K$11))</f>
        <v>26434181.380098589</v>
      </c>
      <c r="E4" s="3">
        <f>$C4*(_xlfn.XLOOKUP(D2, 'Interest and Inflation WC'!$A$2:$A$11, 'Interest and Inflation WC'!$F$2:$F$11))*(_xlfn.XLOOKUP(D2, 'Interest and Inflation WC'!$A$2:$A$11, 'Interest and Inflation WC'!$K$2:$K$11))</f>
        <v>27680191.125048254</v>
      </c>
      <c r="F4" s="3">
        <f>$C4*(_xlfn.XLOOKUP(E2, 'Interest and Inflation WC'!$A$2:$A$11, 'Interest and Inflation WC'!$F$2:$F$11))*(_xlfn.XLOOKUP(E2, 'Interest and Inflation WC'!$A$2:$A$11, 'Interest and Inflation WC'!$K$2:$K$11))</f>
        <v>28975950.655826505</v>
      </c>
      <c r="G4" s="3">
        <f>$C4*(_xlfn.XLOOKUP(F2, 'Interest and Inflation WC'!$A$2:$A$11, 'Interest and Inflation WC'!$F$2:$F$11))*(_xlfn.XLOOKUP(F2, 'Interest and Inflation WC'!$A$2:$A$11, 'Interest and Inflation WC'!$K$2:$K$11))</f>
        <v>30321661.065354504</v>
      </c>
      <c r="H4" s="3">
        <f>$C4*(_xlfn.XLOOKUP(G2, 'Interest and Inflation WC'!$A$2:$A$11, 'Interest and Inflation WC'!$F$2:$F$11))*(_xlfn.XLOOKUP(G2, 'Interest and Inflation WC'!$A$2:$A$11, 'Interest and Inflation WC'!$K$2:$K$11))</f>
        <v>31718074.457418665</v>
      </c>
      <c r="I4" s="3">
        <f>$C4*(_xlfn.XLOOKUP(H2, 'Interest and Inflation WC'!$A$2:$A$11, 'Interest and Inflation WC'!$F$2:$F$11))*(_xlfn.XLOOKUP(H2, 'Interest and Inflation WC'!$A$2:$A$11, 'Interest and Inflation WC'!$K$2:$K$11))</f>
        <v>33166304.352730073</v>
      </c>
      <c r="J4" s="3">
        <f>$C4*(_xlfn.XLOOKUP(I2, 'Interest and Inflation WC'!$A$2:$A$11, 'Interest and Inflation WC'!$F$2:$F$11))*(_xlfn.XLOOKUP(I2, 'Interest and Inflation WC'!$A$2:$A$11, 'Interest and Inflation WC'!$K$2:$K$11))</f>
        <v>34667708.708083652</v>
      </c>
      <c r="K4" s="3">
        <f>$C4*(_xlfn.XLOOKUP(J2, 'Interest and Inflation WC'!$A$2:$A$11, 'Interest and Inflation WC'!$F$2:$F$11))*(_xlfn.XLOOKUP(J2, 'Interest and Inflation WC'!$A$2:$A$11, 'Interest and Inflation WC'!$K$2:$K$11))</f>
        <v>36223817.772973597</v>
      </c>
      <c r="L4" s="3">
        <f>$C4*(_xlfn.XLOOKUP(K2, 'Interest and Inflation WC'!$A$2:$A$11, 'Interest and Inflation WC'!$F$2:$F$11))*(_xlfn.XLOOKUP(K2, 'Interest and Inflation WC'!$A$2:$A$11, 'Interest and Inflation WC'!$K$2:$K$11))</f>
        <v>37836290.032603681</v>
      </c>
      <c r="M4" s="3"/>
    </row>
    <row r="5" spans="1:13">
      <c r="A5" t="s">
        <v>27</v>
      </c>
      <c r="B5" t="s">
        <v>22</v>
      </c>
      <c r="C5" s="11">
        <f>(C3+C4)*((1+_xlfn.XLOOKUP(C$2,'Interest and Inflation WC'!$A$2:$A$11,'Interest and Inflation WC'!$C$2:$C$11))^(1/2)-1)</f>
        <v>222885.25268269327</v>
      </c>
      <c r="D5" s="3">
        <f>(D3+D4)*((1+_xlfn.XLOOKUP(D$2,'Interest and Inflation WC'!$A$2:$A$11,'Interest and Inflation WC'!$C$2:$C$11))^(1/2)-1)</f>
        <v>311492.64867203985</v>
      </c>
      <c r="E5" s="3">
        <f>(E3+E4)*((1+_xlfn.XLOOKUP(E$2,'Interest and Inflation WC'!$A$2:$A$11,'Interest and Inflation WC'!$C$2:$C$11))^(1/2)-1)</f>
        <v>405673.55973384628</v>
      </c>
      <c r="F5" s="3">
        <f>(F3+F4)*((1+_xlfn.XLOOKUP(F$2,'Interest and Inflation WC'!$A$2:$A$11,'Interest and Inflation WC'!$C$2:$C$11))^(1/2)-1)</f>
        <v>505524.35782860039</v>
      </c>
      <c r="G5" s="3">
        <f>(G3+G4)*((1+_xlfn.XLOOKUP(G$2,'Interest and Inflation WC'!$A$2:$A$11,'Interest and Inflation WC'!$C$2:$C$11))^(1/2)-1)</f>
        <v>611259.48501047795</v>
      </c>
      <c r="H5" s="3">
        <f>(H3+H4)*((1+_xlfn.XLOOKUP(H$2,'Interest and Inflation WC'!$A$2:$A$11,'Interest and Inflation WC'!$C$2:$C$11))^(1/2)-1)</f>
        <v>723149.55534022069</v>
      </c>
      <c r="I5" s="3">
        <f>(I3+I4)*((1+_xlfn.XLOOKUP(I$2,'Interest and Inflation WC'!$A$2:$A$11,'Interest and Inflation WC'!$C$2:$C$11))^(1/2)-1)</f>
        <v>841491.3527342201</v>
      </c>
      <c r="J5" s="3">
        <f>(J3+J4)*((1+_xlfn.XLOOKUP(J$2,'Interest and Inflation WC'!$A$2:$A$11,'Interest and Inflation WC'!$C$2:$C$11))^(1/2)-1)</f>
        <v>966594.39309852535</v>
      </c>
      <c r="K5" s="3">
        <f>(K3+K4)*((1+_xlfn.XLOOKUP(K$2,'Interest and Inflation WC'!$A$2:$A$11,'Interest and Inflation WC'!$C$2:$C$11))^(1/2)-1)</f>
        <v>1098775.7947005271</v>
      </c>
      <c r="L5" s="3">
        <f>(L3+L4)*((1+_xlfn.XLOOKUP(L$2,'Interest and Inflation WC'!$A$2:$A$11,'Interest and Inflation WC'!$C$2:$C$11))^(1/2)-1)</f>
        <v>1238358.9931051955</v>
      </c>
      <c r="M5" s="3"/>
    </row>
    <row r="6" spans="1:13">
      <c r="A6" t="s">
        <v>31</v>
      </c>
      <c r="B6" t="s">
        <v>57</v>
      </c>
      <c r="C6" s="10">
        <f>'Summary WC'!$B$11*((1+_xlfn.XLOOKUP(C$2,'Interest and Inflation WC'!$A$2:$A$11,'Interest and Inflation WC'!$D$2:$D$11))^(1/2))*(1+'Interest and Inflation WC'!$K$12)</f>
        <v>16977405.789981354</v>
      </c>
      <c r="D6" s="3">
        <f>'Summary WC'!$B$11*((1+_xlfn.XLOOKUP(D$2,'Interest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17779611.919881005</v>
      </c>
      <c r="E6" s="3">
        <f>'Summary WC'!$B$11*((1+_xlfn.XLOOKUP(E$2,'Interest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18614745.841004074</v>
      </c>
      <c r="F6" s="3">
        <f>'Summary WC'!$B$11*((1+_xlfn.XLOOKUP(F$2,'Interest and Inflation WC'!$A$2:$A$11,'Interest and Inflation WC'!$D$2:$D$11))^(1/2))*_xlfn.XLOOKUP(F$2,'Interest and Inflation WC'!$G$2:$G$11,'Interest and Inflation WC'!$F$2:$F$11)*(_xlfn.XLOOKUP(F$2,'Interest and Inflation WC'!$G$2:$G$11,'Interest and Inflation WC'!$K$2:$K$11) + 'Interest and Inflation WC'!$K$12)</f>
        <v>19482650.942817666</v>
      </c>
      <c r="G6" s="3">
        <f>'Summary WC'!$B$11*((1+_xlfn.XLOOKUP(G$2,'Interest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20383636.127387151</v>
      </c>
      <c r="H6" s="3">
        <f>'Summary WC'!$B$11*((1+_xlfn.XLOOKUP(H$2,'Interest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21318311.755871598</v>
      </c>
      <c r="I6" s="3">
        <f>'Summary WC'!$B$11*((1+_xlfn.XLOOKUP(I$2,'Interest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22287488.285429422</v>
      </c>
      <c r="J6" s="3">
        <f>'Summary WC'!$B$11*((1+_xlfn.XLOOKUP(J$2,'Interest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23292113.735958427</v>
      </c>
      <c r="K6" s="3">
        <f>'Summary WC'!$B$11*((1+_xlfn.XLOOKUP(K$2,'Interest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24333235.265019115</v>
      </c>
      <c r="L6" s="3">
        <f>'Summary WC'!$B$11*((1+_xlfn.XLOOKUP(L$2,'Interest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25411975.697817896</v>
      </c>
      <c r="M6" s="3"/>
    </row>
    <row r="7" spans="1:13">
      <c r="B7" t="s">
        <v>24</v>
      </c>
      <c r="C7" s="3">
        <f>C3+C4+C5-C6</f>
        <v>8484057.4627013393</v>
      </c>
      <c r="D7" s="3">
        <f t="shared" ref="D7:L7" si="1">D3+D4+D5-D6</f>
        <v>17525043.416006785</v>
      </c>
      <c r="E7" s="3">
        <f t="shared" si="1"/>
        <v>27152161.940080605</v>
      </c>
      <c r="F7" s="3">
        <f t="shared" si="1"/>
        <v>37393812.608954437</v>
      </c>
      <c r="G7" s="3">
        <f t="shared" si="1"/>
        <v>48278437.960719481</v>
      </c>
      <c r="H7" s="3">
        <f t="shared" si="1"/>
        <v>59835006.350852191</v>
      </c>
      <c r="I7" s="3">
        <f t="shared" si="1"/>
        <v>72093291.733829603</v>
      </c>
      <c r="J7" s="3">
        <f t="shared" si="1"/>
        <v>85084041.532310888</v>
      </c>
      <c r="K7" s="3">
        <f t="shared" si="1"/>
        <v>98839083.604801565</v>
      </c>
      <c r="L7" s="3">
        <f t="shared" si="1"/>
        <v>113391400.91204774</v>
      </c>
      <c r="M7" s="3"/>
    </row>
    <row r="8" spans="1:13">
      <c r="B8" t="s">
        <v>25</v>
      </c>
      <c r="C8" s="3">
        <f>C7*((1+_xlfn.XLOOKUP(C$2,'Interest and Inflation WC'!$A$2:$A$11,'Interest and Inflation WC'!$C$2:$C$11))^(1/2)-1)</f>
        <v>74923.844415825544</v>
      </c>
      <c r="D8" s="3">
        <f>D7*((1+_xlfn.XLOOKUP(D$2,'Interest and Inflation WC'!$A$2:$A$11,'Interest and Inflation WC'!$C$2:$C$11))^(1/2)-1)</f>
        <v>155999.68029579634</v>
      </c>
      <c r="E8" s="3">
        <f>E7*((1+_xlfn.XLOOKUP(E$2,'Interest and Inflation WC'!$A$2:$A$11,'Interest and Inflation WC'!$C$2:$C$11))^(1/2)-1)</f>
        <v>242826.59803638689</v>
      </c>
      <c r="F8" s="3">
        <f>F7*((1+_xlfn.XLOOKUP(F$2,'Interest and Inflation WC'!$A$2:$A$11,'Interest and Inflation WC'!$C$2:$C$11))^(1/2)-1)</f>
        <v>335340.92878721637</v>
      </c>
      <c r="G8" s="3">
        <f>G7*((1+_xlfn.XLOOKUP(G$2,'Interest and Inflation WC'!$A$2:$A$11,'Interest and Inflation WC'!$C$2:$C$11))^(1/2)-1)</f>
        <v>433656.13324542088</v>
      </c>
      <c r="H8" s="3">
        <f>H7*((1+_xlfn.XLOOKUP(H$2,'Interest and Inflation WC'!$A$2:$A$11,'Interest and Inflation WC'!$C$2:$C$11))^(1/2)-1)</f>
        <v>537977.96294253459</v>
      </c>
      <c r="I8" s="3">
        <f>I7*((1+_xlfn.XLOOKUP(I$2,'Interest and Inflation WC'!$A$2:$A$11,'Interest and Inflation WC'!$C$2:$C$11))^(1/2)-1)</f>
        <v>648560.43325753591</v>
      </c>
      <c r="J8" s="3">
        <f>J7*((1+_xlfn.XLOOKUP(J$2,'Interest and Inflation WC'!$A$2:$A$11,'Interest and Inflation WC'!$C$2:$C$11))^(1/2)-1)</f>
        <v>765683.76983566175</v>
      </c>
      <c r="K8" s="3">
        <f>K7*((1+_xlfn.XLOOKUP(K$2,'Interest and Inflation WC'!$A$2:$A$11,'Interest and Inflation WC'!$C$2:$C$11))^(1/2)-1)</f>
        <v>889643.97935519484</v>
      </c>
      <c r="L8" s="3">
        <f>L7*((1+_xlfn.XLOOKUP(L$2,'Interest and Inflation WC'!$A$2:$A$11,'Interest and Inflation WC'!$C$2:$C$11))^(1/2)-1)</f>
        <v>1020748.3231777874</v>
      </c>
      <c r="M8" s="3"/>
    </row>
    <row r="9" spans="1:13">
      <c r="B9" t="s">
        <v>26</v>
      </c>
      <c r="C9" s="3">
        <f>C7+C8</f>
        <v>8558981.3071171641</v>
      </c>
      <c r="D9" s="3">
        <f t="shared" ref="D9:L9" si="2">D7+D8</f>
        <v>17681043.09630258</v>
      </c>
      <c r="E9" s="3">
        <f t="shared" si="2"/>
        <v>27394988.538116992</v>
      </c>
      <c r="F9" s="3">
        <f t="shared" si="2"/>
        <v>37729153.537741654</v>
      </c>
      <c r="G9" s="3">
        <f t="shared" si="2"/>
        <v>48712094.093964905</v>
      </c>
      <c r="H9" s="3">
        <f t="shared" si="2"/>
        <v>60372984.313794725</v>
      </c>
      <c r="I9" s="3">
        <f t="shared" si="2"/>
        <v>72741852.167087138</v>
      </c>
      <c r="J9" s="3">
        <f t="shared" si="2"/>
        <v>85849725.302146554</v>
      </c>
      <c r="K9" s="3">
        <f t="shared" si="2"/>
        <v>99728727.584156767</v>
      </c>
      <c r="L9" s="3">
        <f t="shared" si="2"/>
        <v>114412149.23522553</v>
      </c>
      <c r="M9" s="3"/>
    </row>
    <row r="11" spans="1:13">
      <c r="A11" s="2"/>
      <c r="B11" s="2" t="s">
        <v>58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</row>
    <row r="12" spans="1:13">
      <c r="B12" t="s">
        <v>20</v>
      </c>
      <c r="C12" s="4">
        <v>0</v>
      </c>
      <c r="D12" s="3">
        <f t="shared" ref="D12:M12" si="3">C18</f>
        <v>71981.807822747185</v>
      </c>
      <c r="E12" s="3">
        <f t="shared" si="3"/>
        <v>153634.29349442947</v>
      </c>
      <c r="F12" s="3">
        <f t="shared" si="3"/>
        <v>246137.69491401289</v>
      </c>
      <c r="G12" s="3">
        <f t="shared" si="3"/>
        <v>350497.10597322724</v>
      </c>
      <c r="H12" s="3">
        <f t="shared" si="3"/>
        <v>467621.13674213673</v>
      </c>
      <c r="I12" s="3">
        <f t="shared" si="3"/>
        <v>598370.95918836165</v>
      </c>
      <c r="J12" s="3">
        <f t="shared" si="3"/>
        <v>743591.00919873524</v>
      </c>
      <c r="K12" s="3">
        <f t="shared" si="3"/>
        <v>904128.49434870877</v>
      </c>
      <c r="L12" s="3">
        <f t="shared" si="3"/>
        <v>1080845.8932533516</v>
      </c>
      <c r="M12" s="3">
        <f t="shared" si="3"/>
        <v>1274629.2682902461</v>
      </c>
    </row>
    <row r="13" spans="1:13">
      <c r="B13" t="s">
        <v>56</v>
      </c>
      <c r="C13" s="10">
        <f>'Summary WC'!$B$8</f>
        <v>25238578</v>
      </c>
      <c r="D13" s="3">
        <f>$C13*(_xlfn.XLOOKUP(C11, 'Interest and Inflation WC'!$A$2:$A$11, 'Interest and Inflation WC'!$F$2:$F$11))*(_xlfn.XLOOKUP(C11, 'Interest and Inflation WC'!$A$2:$A$11, 'Interest and Inflation WC'!$K$2:$K$11))</f>
        <v>26434181.380098589</v>
      </c>
      <c r="E13" s="3">
        <f>$C13*(_xlfn.XLOOKUP(D11, 'Interest and Inflation WC'!$A$2:$A$11, 'Interest and Inflation WC'!$F$2:$F$11))*(_xlfn.XLOOKUP(D11, 'Interest and Inflation WC'!$A$2:$A$11, 'Interest and Inflation WC'!$K$2:$K$11))</f>
        <v>27680191.125048254</v>
      </c>
      <c r="F13" s="3">
        <f>$C13*(_xlfn.XLOOKUP(E11, 'Interest and Inflation WC'!$A$2:$A$11, 'Interest and Inflation WC'!$F$2:$F$11))*(_xlfn.XLOOKUP(E11, 'Interest and Inflation WC'!$A$2:$A$11, 'Interest and Inflation WC'!$K$2:$K$11))</f>
        <v>28975950.655826505</v>
      </c>
      <c r="G13" s="3">
        <f>$C13*(_xlfn.XLOOKUP(F11, 'Interest and Inflation WC'!$A$2:$A$11, 'Interest and Inflation WC'!$F$2:$F$11))*(_xlfn.XLOOKUP(F11, 'Interest and Inflation WC'!$A$2:$A$11, 'Interest and Inflation WC'!$K$2:$K$11))</f>
        <v>30321661.065354504</v>
      </c>
      <c r="H13" s="3">
        <f>$C13*(_xlfn.XLOOKUP(G11, 'Interest and Inflation WC'!$A$2:$A$11, 'Interest and Inflation WC'!$F$2:$F$11))*(_xlfn.XLOOKUP(G11, 'Interest and Inflation WC'!$A$2:$A$11, 'Interest and Inflation WC'!$K$2:$K$11))</f>
        <v>31718074.457418665</v>
      </c>
      <c r="I13" s="3">
        <f>$C13*(_xlfn.XLOOKUP(H11, 'Interest and Inflation WC'!$A$2:$A$11, 'Interest and Inflation WC'!$F$2:$F$11))*(_xlfn.XLOOKUP(H11, 'Interest and Inflation WC'!$A$2:$A$11, 'Interest and Inflation WC'!$K$2:$K$11))</f>
        <v>33166304.352730073</v>
      </c>
      <c r="J13" s="3">
        <f>$C13*(_xlfn.XLOOKUP(I11, 'Interest and Inflation WC'!$A$2:$A$11, 'Interest and Inflation WC'!$F$2:$F$11))*(_xlfn.XLOOKUP(I11, 'Interest and Inflation WC'!$A$2:$A$11, 'Interest and Inflation WC'!$K$2:$K$11))</f>
        <v>34667708.708083652</v>
      </c>
      <c r="K13" s="3">
        <f>$C13*(_xlfn.XLOOKUP(J11, 'Interest and Inflation WC'!$A$2:$A$11, 'Interest and Inflation WC'!$F$2:$F$11))*(_xlfn.XLOOKUP(J11, 'Interest and Inflation WC'!$A$2:$A$11, 'Interest and Inflation WC'!$K$2:$K$11))</f>
        <v>36223817.772973597</v>
      </c>
      <c r="L13" s="3">
        <f>$C13*(_xlfn.XLOOKUP(K11, 'Interest and Inflation WC'!$A$2:$A$11, 'Interest and Inflation WC'!$F$2:$F$11))*(_xlfn.XLOOKUP(K11, 'Interest and Inflation WC'!$A$2:$A$11, 'Interest and Inflation WC'!$K$2:$K$11))</f>
        <v>37836290.032603681</v>
      </c>
      <c r="M13" s="3"/>
    </row>
    <row r="14" spans="1:13">
      <c r="B14" t="s">
        <v>22</v>
      </c>
      <c r="C14" s="3">
        <f>(C12+C13)*((1+_xlfn.XLOOKUP(C$2,'Interest and Inflation WC'!$A$2:$A$11,'Interest and Inflation WC'!$C$2:$C$11))^(1/2)-1)</f>
        <v>222885.25268269327</v>
      </c>
      <c r="D14" s="3">
        <f>(D12+D13)*((1+_xlfn.XLOOKUP(D$2,'Interest and Inflation WC'!$A$2:$A$11,'Interest and Inflation WC'!$C$2:$C$11))^(1/2)-1)</f>
        <v>235945.37742526832</v>
      </c>
      <c r="E14" s="3">
        <f>(E12+E13)*((1+_xlfn.XLOOKUP(E$2,'Interest and Inflation WC'!$A$2:$A$11,'Interest and Inflation WC'!$C$2:$C$11))^(1/2)-1)</f>
        <v>248922.83537637768</v>
      </c>
      <c r="F14" s="3">
        <f>(F12+F13)*((1+_xlfn.XLOOKUP(F$2,'Interest and Inflation WC'!$A$2:$A$11,'Interest and Inflation WC'!$C$2:$C$11))^(1/2)-1)</f>
        <v>262058.38787064029</v>
      </c>
      <c r="G14" s="3">
        <f>(G12+G13)*((1+_xlfn.XLOOKUP(G$2,'Interest and Inflation WC'!$A$2:$A$11,'Interest and Inflation WC'!$C$2:$C$11))^(1/2)-1)</f>
        <v>275509.52501180925</v>
      </c>
      <c r="H14" s="3">
        <f>(H12+H13)*((1+_xlfn.XLOOKUP(H$2,'Interest and Inflation WC'!$A$2:$A$11,'Interest and Inflation WC'!$C$2:$C$11))^(1/2)-1)</f>
        <v>289382.35336860677</v>
      </c>
      <c r="I14" s="3">
        <f>(I12+I13)*((1+_xlfn.XLOOKUP(I$2,'Interest and Inflation WC'!$A$2:$A$11,'Interest and Inflation WC'!$C$2:$C$11))^(1/2)-1)</f>
        <v>303751.31891532236</v>
      </c>
      <c r="J14" s="3">
        <f>(J12+J13)*((1+_xlfn.XLOOKUP(J$2,'Interest and Inflation WC'!$A$2:$A$11,'Interest and Inflation WC'!$C$2:$C$11))^(1/2)-1)</f>
        <v>318671.48026827944</v>
      </c>
      <c r="K14" s="3">
        <f>(K12+K13)*((1+_xlfn.XLOOKUP(K$2,'Interest and Inflation WC'!$A$2:$A$11,'Interest and Inflation WC'!$C$2:$C$11))^(1/2)-1)</f>
        <v>334186.16055381816</v>
      </c>
      <c r="L14" s="3">
        <f>(L12+L13)*((1+_xlfn.XLOOKUP(L$2,'Interest and Inflation WC'!$A$2:$A$11,'Interest and Inflation WC'!$C$2:$C$11))^(1/2)-1)</f>
        <v>350331.69111309462</v>
      </c>
      <c r="M14" s="3"/>
    </row>
    <row r="15" spans="1:13">
      <c r="B15" t="s">
        <v>57</v>
      </c>
      <c r="C15" s="4">
        <f>'Summary WC'!$B$12*((1+_xlfn.XLOOKUP(C$2,'Interest and Inflation WC'!$A$2:$A$11,'Interest and Inflation WC'!$D$2:$D$11))^(1/2))*(1+'Interest and Inflation WC'!$K$12)</f>
        <v>25390111.561175961</v>
      </c>
      <c r="D15" s="3">
        <f>'Summary WC'!$B$12*((1+_xlfn.XLOOKUP(D$2,'Interest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26589829.785807833</v>
      </c>
      <c r="E15" s="3">
        <f>'Summary WC'!$B$12*((1+_xlfn.XLOOKUP(E$2,'Interest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27838792.300348774</v>
      </c>
      <c r="F15" s="3">
        <f>'Summary WC'!$B$12*((1+_xlfn.XLOOKUP(F$2,'Interest and Inflation WC'!$A$2:$A$11,'Interest and Inflation WC'!$D$2:$D$11))^(1/2))*_xlfn.XLOOKUP(F$2,'Interest and Inflation WC'!$G$2:$G$11,'Interest and Inflation WC'!$F$2:$F$11)*(_xlfn.XLOOKUP(F$2,'Interest and Inflation WC'!$G$2:$G$11,'Interest and Inflation WC'!$K$2:$K$11) + 'Interest and Inflation WC'!$K$12)</f>
        <v>29136764.890045885</v>
      </c>
      <c r="G15" s="3">
        <f>'Summary WC'!$B$12*((1+_xlfn.XLOOKUP(G$2,'Interest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30484209.525237769</v>
      </c>
      <c r="H15" s="3">
        <f>'Summary WC'!$B$12*((1+_xlfn.XLOOKUP(H$2,'Interest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31882039.015461572</v>
      </c>
      <c r="I15" s="3">
        <f>'Summary WC'!$B$12*((1+_xlfn.XLOOKUP(I$2,'Interest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33331465.418550074</v>
      </c>
      <c r="J15" s="3">
        <f>'Summary WC'!$B$12*((1+_xlfn.XLOOKUP(J$2,'Interest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34833906.520663597</v>
      </c>
      <c r="K15" s="3">
        <f>'Summary WC'!$B$12*((1+_xlfn.XLOOKUP(K$2,'Interest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36390928.370679818</v>
      </c>
      <c r="L15" s="3">
        <f>'Summary WC'!$B$12*((1+_xlfn.XLOOKUP(L$2,'Interest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38004210.180229038</v>
      </c>
      <c r="M15" s="3"/>
    </row>
    <row r="16" spans="1:13">
      <c r="B16" t="s">
        <v>24</v>
      </c>
      <c r="C16" s="3">
        <f>C12+C13+C14-C15</f>
        <v>71351.691506732255</v>
      </c>
      <c r="D16" s="3">
        <f t="shared" ref="D16:L16" si="4">D12+D13+D14-D15</f>
        <v>152278.779538773</v>
      </c>
      <c r="E16" s="3">
        <f t="shared" si="4"/>
        <v>243955.95357028767</v>
      </c>
      <c r="F16" s="3">
        <f t="shared" si="4"/>
        <v>347381.84856527299</v>
      </c>
      <c r="G16" s="3">
        <f t="shared" si="4"/>
        <v>463458.1711017713</v>
      </c>
      <c r="H16" s="3">
        <f t="shared" si="4"/>
        <v>593038.93206783757</v>
      </c>
      <c r="I16" s="3">
        <f t="shared" si="4"/>
        <v>736961.2122836858</v>
      </c>
      <c r="J16" s="3">
        <f t="shared" si="4"/>
        <v>896064.67688706517</v>
      </c>
      <c r="K16" s="3">
        <f t="shared" si="4"/>
        <v>1071204.0571963117</v>
      </c>
      <c r="L16" s="3">
        <f t="shared" si="4"/>
        <v>1263257.4367410839</v>
      </c>
      <c r="M16" s="3"/>
    </row>
    <row r="17" spans="1:13">
      <c r="B17" t="s">
        <v>25</v>
      </c>
      <c r="C17" s="3">
        <f>C16*((1+_xlfn.XLOOKUP(C$2,'Interest and Inflation WC'!$A$2:$A$11,'Interest and Inflation WC'!$C$2:$C$11))^(1/2)-1)</f>
        <v>630.11631601493548</v>
      </c>
      <c r="D17" s="3">
        <f>D16*((1+_xlfn.XLOOKUP(D$2,'Interest and Inflation WC'!$A$2:$A$11,'Interest and Inflation WC'!$C$2:$C$11))^(1/2)-1)</f>
        <v>1355.5139556564648</v>
      </c>
      <c r="E17" s="3">
        <f>E16*((1+_xlfn.XLOOKUP(E$2,'Interest and Inflation WC'!$A$2:$A$11,'Interest and Inflation WC'!$C$2:$C$11))^(1/2)-1)</f>
        <v>2181.7413437252007</v>
      </c>
      <c r="F17" s="3">
        <f>F16*((1+_xlfn.XLOOKUP(F$2,'Interest and Inflation WC'!$A$2:$A$11,'Interest and Inflation WC'!$C$2:$C$11))^(1/2)-1)</f>
        <v>3115.2574079542619</v>
      </c>
      <c r="G17" s="3">
        <f>G16*((1+_xlfn.XLOOKUP(G$2,'Interest and Inflation WC'!$A$2:$A$11,'Interest and Inflation WC'!$C$2:$C$11))^(1/2)-1)</f>
        <v>4162.9656403654208</v>
      </c>
      <c r="H17" s="3">
        <f>H16*((1+_xlfn.XLOOKUP(H$2,'Interest and Inflation WC'!$A$2:$A$11,'Interest and Inflation WC'!$C$2:$C$11))^(1/2)-1)</f>
        <v>5332.0271205240288</v>
      </c>
      <c r="I17" s="3">
        <f>I16*((1+_xlfn.XLOOKUP(I$2,'Interest and Inflation WC'!$A$2:$A$11,'Interest and Inflation WC'!$C$2:$C$11))^(1/2)-1)</f>
        <v>6629.7969150494864</v>
      </c>
      <c r="J17" s="3">
        <f>J16*((1+_xlfn.XLOOKUP(J$2,'Interest and Inflation WC'!$A$2:$A$11,'Interest and Inflation WC'!$C$2:$C$11))^(1/2)-1)</f>
        <v>8063.8174616436509</v>
      </c>
      <c r="K17" s="3">
        <f>K16*((1+_xlfn.XLOOKUP(K$2,'Interest and Inflation WC'!$A$2:$A$11,'Interest and Inflation WC'!$C$2:$C$11))^(1/2)-1)</f>
        <v>9641.8360570398945</v>
      </c>
      <c r="L17" s="3">
        <f>L16*((1+_xlfn.XLOOKUP(L$2,'Interest and Inflation WC'!$A$2:$A$11,'Interest and Inflation WC'!$C$2:$C$11))^(1/2)-1)</f>
        <v>11371.831549162262</v>
      </c>
      <c r="M17" s="3"/>
    </row>
    <row r="18" spans="1:13">
      <c r="B18" t="s">
        <v>26</v>
      </c>
      <c r="C18" s="3">
        <f>C16+C17</f>
        <v>71981.807822747185</v>
      </c>
      <c r="D18" s="3">
        <f t="shared" ref="D18:L18" si="5">D16+D17</f>
        <v>153634.29349442947</v>
      </c>
      <c r="E18" s="3">
        <f t="shared" si="5"/>
        <v>246137.69491401289</v>
      </c>
      <c r="F18" s="3">
        <f t="shared" si="5"/>
        <v>350497.10597322724</v>
      </c>
      <c r="G18" s="3">
        <f t="shared" si="5"/>
        <v>467621.13674213673</v>
      </c>
      <c r="H18" s="3">
        <f t="shared" si="5"/>
        <v>598370.95918836165</v>
      </c>
      <c r="I18" s="3">
        <f t="shared" si="5"/>
        <v>743591.00919873524</v>
      </c>
      <c r="J18" s="3">
        <f t="shared" si="5"/>
        <v>904128.49434870877</v>
      </c>
      <c r="K18" s="3">
        <f t="shared" si="5"/>
        <v>1080845.8932533516</v>
      </c>
      <c r="L18" s="3">
        <f t="shared" si="5"/>
        <v>1274629.2682902461</v>
      </c>
      <c r="M18" s="3"/>
    </row>
    <row r="20" spans="1:13">
      <c r="A20" s="2"/>
      <c r="B20" s="2" t="s">
        <v>32</v>
      </c>
      <c r="C20">
        <v>0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</row>
    <row r="21" spans="1:13">
      <c r="B21" t="s">
        <v>20</v>
      </c>
      <c r="C21" s="4">
        <v>0</v>
      </c>
      <c r="D21" s="3">
        <f t="shared" ref="D21:M21" si="6">C27</f>
        <v>-8568354.2205616385</v>
      </c>
      <c r="E21" s="3">
        <f t="shared" si="6"/>
        <v>-17690446.146915104</v>
      </c>
      <c r="F21" s="3">
        <f t="shared" si="6"/>
        <v>-27393217.543561324</v>
      </c>
      <c r="G21" s="3">
        <f t="shared" si="6"/>
        <v>-37703487.919813685</v>
      </c>
      <c r="H21" s="3">
        <f t="shared" si="6"/>
        <v>-48648495.565911599</v>
      </c>
      <c r="I21" s="3">
        <f t="shared" si="6"/>
        <v>-60256203.781094141</v>
      </c>
      <c r="J21" s="3">
        <f t="shared" si="6"/>
        <v>-72555478.928916648</v>
      </c>
      <c r="K21" s="3">
        <f t="shared" si="6"/>
        <v>-85576199.51934433</v>
      </c>
      <c r="L21" s="3">
        <f t="shared" si="6"/>
        <v>-99349329.266834214</v>
      </c>
      <c r="M21" s="3">
        <f t="shared" si="6"/>
        <v>-113906971.72198191</v>
      </c>
    </row>
    <row r="22" spans="1:13">
      <c r="B22" t="s">
        <v>56</v>
      </c>
      <c r="C22" s="4">
        <f>'Summary WC'!$B$8</f>
        <v>25238578</v>
      </c>
      <c r="D22" s="3">
        <f>$C22*(_xlfn.XLOOKUP(C20, 'Interest and Inflation WC'!$A$2:$A$11, 'Interest and Inflation WC'!$F$2:$F$11))*(_xlfn.XLOOKUP(C20, 'Interest and Inflation WC'!$A$2:$A$11, 'Interest and Inflation WC'!$K$2:$K$11))</f>
        <v>26434181.380098589</v>
      </c>
      <c r="E22" s="3">
        <f>$C22*(_xlfn.XLOOKUP(D20, 'Interest and Inflation WC'!$A$2:$A$11, 'Interest and Inflation WC'!$F$2:$F$11))*(_xlfn.XLOOKUP(D20, 'Interest and Inflation WC'!$A$2:$A$11, 'Interest and Inflation WC'!$K$2:$K$11))</f>
        <v>27680191.125048254</v>
      </c>
      <c r="F22" s="3">
        <f>$C22*(_xlfn.XLOOKUP(E20, 'Interest and Inflation WC'!$A$2:$A$11, 'Interest and Inflation WC'!$F$2:$F$11))*(_xlfn.XLOOKUP(E20, 'Interest and Inflation WC'!$A$2:$A$11, 'Interest and Inflation WC'!$K$2:$K$11))</f>
        <v>28975950.655826505</v>
      </c>
      <c r="G22" s="3">
        <f>$C22*(_xlfn.XLOOKUP(F20, 'Interest and Inflation WC'!$A$2:$A$11, 'Interest and Inflation WC'!$F$2:$F$11))*(_xlfn.XLOOKUP(F20, 'Interest and Inflation WC'!$A$2:$A$11, 'Interest and Inflation WC'!$K$2:$K$11))</f>
        <v>30321661.065354504</v>
      </c>
      <c r="H22" s="3">
        <f>$C22*(_xlfn.XLOOKUP(G20, 'Interest and Inflation WC'!$A$2:$A$11, 'Interest and Inflation WC'!$F$2:$F$11))*(_xlfn.XLOOKUP(G20, 'Interest and Inflation WC'!$A$2:$A$11, 'Interest and Inflation WC'!$K$2:$K$11))</f>
        <v>31718074.457418665</v>
      </c>
      <c r="I22" s="3">
        <f>$C22*(_xlfn.XLOOKUP(H20, 'Interest and Inflation WC'!$A$2:$A$11, 'Interest and Inflation WC'!$F$2:$F$11))*(_xlfn.XLOOKUP(H20, 'Interest and Inflation WC'!$A$2:$A$11, 'Interest and Inflation WC'!$K$2:$K$11))</f>
        <v>33166304.352730073</v>
      </c>
      <c r="J22" s="3">
        <f>$C22*(_xlfn.XLOOKUP(I20, 'Interest and Inflation WC'!$A$2:$A$11, 'Interest and Inflation WC'!$F$2:$F$11))*(_xlfn.XLOOKUP(I20, 'Interest and Inflation WC'!$A$2:$A$11, 'Interest and Inflation WC'!$K$2:$K$11))</f>
        <v>34667708.708083652</v>
      </c>
      <c r="K22" s="3">
        <f>$C22*(_xlfn.XLOOKUP(J20, 'Interest and Inflation WC'!$A$2:$A$11, 'Interest and Inflation WC'!$F$2:$F$11))*(_xlfn.XLOOKUP(J20, 'Interest and Inflation WC'!$A$2:$A$11, 'Interest and Inflation WC'!$K$2:$K$11))</f>
        <v>36223817.772973597</v>
      </c>
      <c r="L22" s="3">
        <f>$C22*(_xlfn.XLOOKUP(K20, 'Interest and Inflation WC'!$A$2:$A$11, 'Interest and Inflation WC'!$F$2:$F$11))*(_xlfn.XLOOKUP(K20, 'Interest and Inflation WC'!$A$2:$A$11, 'Interest and Inflation WC'!$K$2:$K$11))</f>
        <v>37836290.032603681</v>
      </c>
      <c r="M22" s="3"/>
    </row>
    <row r="23" spans="1:13">
      <c r="B23" t="s">
        <v>22</v>
      </c>
      <c r="C23" s="3">
        <f>(C21+C22)*((1+_xlfn.XLOOKUP(C$2,'Interest and Inflation WC'!$A$2:$A$11,'Interest and Inflation WC'!$C$2:$C$11))^(1/2)-1)</f>
        <v>222885.25268269327</v>
      </c>
      <c r="D23" s="3">
        <f>(D21+D22)*((1+_xlfn.XLOOKUP(D$2,'Interest and Inflation WC'!$A$2:$A$11,'Interest and Inflation WC'!$C$2:$C$11))^(1/2)-1)</f>
        <v>159033.17663465012</v>
      </c>
      <c r="E23" s="3">
        <f>(E21+E22)*((1+_xlfn.XLOOKUP(E$2,'Interest and Inflation WC'!$A$2:$A$11,'Interest and Inflation WC'!$C$2:$C$11))^(1/2)-1)</f>
        <v>89340.060421131668</v>
      </c>
      <c r="F23" s="3">
        <f>(F21+F22)*((1+_xlfn.XLOOKUP(F$2,'Interest and Inflation WC'!$A$2:$A$11,'Interest and Inflation WC'!$C$2:$C$11))^(1/2)-1)</f>
        <v>14193.663466190421</v>
      </c>
      <c r="G23" s="3">
        <f>(G21+G22)*((1+_xlfn.XLOOKUP(G$2,'Interest and Inflation WC'!$A$2:$A$11,'Interest and Inflation WC'!$C$2:$C$11))^(1/2)-1)</f>
        <v>-66306.505040542761</v>
      </c>
      <c r="H23" s="3">
        <f>(H21+H22)*((1+_xlfn.XLOOKUP(H$2,'Interest and Inflation WC'!$A$2:$A$11,'Interest and Inflation WC'!$C$2:$C$11))^(1/2)-1)</f>
        <v>-152221.81821622877</v>
      </c>
      <c r="I23" s="3">
        <f>(I21+I22)*((1+_xlfn.XLOOKUP(I$2,'Interest and Inflation WC'!$A$2:$A$11,'Interest and Inflation WC'!$C$2:$C$11))^(1/2)-1)</f>
        <v>-243704.1850582952</v>
      </c>
      <c r="J23" s="3">
        <f>(J21+J22)*((1+_xlfn.XLOOKUP(J$2,'Interest and Inflation WC'!$A$2:$A$11,'Interest and Inflation WC'!$C$2:$C$11))^(1/2)-1)</f>
        <v>-340957.60157723684</v>
      </c>
      <c r="K23" s="3">
        <f>(K21+K22)*((1+_xlfn.XLOOKUP(K$2,'Interest and Inflation WC'!$A$2:$A$11,'Interest and Inflation WC'!$C$2:$C$11))^(1/2)-1)</f>
        <v>-444217.48650616786</v>
      </c>
      <c r="L23" s="3">
        <f>(L21+L22)*((1+_xlfn.XLOOKUP(L$2,'Interest and Inflation WC'!$A$2:$A$11,'Interest and Inflation WC'!$C$2:$C$11))^(1/2)-1)</f>
        <v>-553739.79990434123</v>
      </c>
      <c r="M23" s="3"/>
    </row>
    <row r="24" spans="1:13">
      <c r="B24" t="s">
        <v>57</v>
      </c>
      <c r="C24" s="4">
        <f>'Summary WC'!$B$13*((1+_xlfn.XLOOKUP(C$2,'Interest and Inflation WC'!$A$2:$A$11,'Interest and Inflation WC'!$D$2:$D$11))^(1/2))*(1+'Interest and Inflation WC'!$K$12)</f>
        <v>33954811.579962708</v>
      </c>
      <c r="D24" s="3">
        <f>'Summary WC'!$B$13*((1+_xlfn.XLOOKUP(D$2,'Interest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35559223.83976201</v>
      </c>
      <c r="E24" s="3">
        <f>'Summary WC'!$B$13*((1+_xlfn.XLOOKUP(E$2,'Interest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37229491.682008147</v>
      </c>
      <c r="F24" s="3">
        <f>'Summary WC'!$B$13*((1+_xlfn.XLOOKUP(F$2,'Interest and Inflation WC'!$A$2:$A$11,'Interest and Inflation WC'!$D$2:$D$11))^(1/2))*_xlfn.XLOOKUP(F$2,'Interest and Inflation WC'!$G$2:$G$11,'Interest and Inflation WC'!$F$2:$F$11)*(_xlfn.XLOOKUP(F$2,'Interest and Inflation WC'!$G$2:$G$11,'Interest and Inflation WC'!$K$2:$K$11) + 'Interest and Inflation WC'!$K$12)</f>
        <v>38965301.885635331</v>
      </c>
      <c r="G24" s="3">
        <f>'Summary WC'!$B$13*((1+_xlfn.XLOOKUP(G$2,'Interest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40767272.254774302</v>
      </c>
      <c r="H24" s="3">
        <f>'Summary WC'!$B$13*((1+_xlfn.XLOOKUP(H$2,'Interest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42636623.511743195</v>
      </c>
      <c r="I24" s="3">
        <f>'Summary WC'!$B$13*((1+_xlfn.XLOOKUP(I$2,'Interest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44574976.570858844</v>
      </c>
      <c r="J24" s="3">
        <f>'Summary WC'!$B$13*((1+_xlfn.XLOOKUP(J$2,'Interest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46584227.471916854</v>
      </c>
      <c r="K24" s="3">
        <f>'Summary WC'!$B$13*((1+_xlfn.XLOOKUP(K$2,'Interest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48666470.53003823</v>
      </c>
      <c r="L24" s="3">
        <f>'Summary WC'!$B$13*((1+_xlfn.XLOOKUP(L$2,'Interest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50823951.395635791</v>
      </c>
      <c r="M24" s="3"/>
    </row>
    <row r="25" spans="1:13">
      <c r="B25" t="s">
        <v>24</v>
      </c>
      <c r="C25" s="3">
        <f>C21+C22+C23-C24</f>
        <v>-8493348.3272800148</v>
      </c>
      <c r="D25" s="3">
        <f t="shared" ref="D25:L25" si="7">D21+D22+D23-D24</f>
        <v>-17534363.503590409</v>
      </c>
      <c r="E25" s="3">
        <f t="shared" si="7"/>
        <v>-27150406.643453866</v>
      </c>
      <c r="F25" s="3">
        <f t="shared" si="7"/>
        <v>-37368375.109903961</v>
      </c>
      <c r="G25" s="3">
        <f t="shared" si="7"/>
        <v>-48215405.614274025</v>
      </c>
      <c r="H25" s="3">
        <f t="shared" si="7"/>
        <v>-59719266.438452356</v>
      </c>
      <c r="I25" s="3">
        <f t="shared" si="7"/>
        <v>-71908580.1842812</v>
      </c>
      <c r="J25" s="3">
        <f t="shared" si="7"/>
        <v>-84812955.29432708</v>
      </c>
      <c r="K25" s="3">
        <f t="shared" si="7"/>
        <v>-98463069.762915134</v>
      </c>
      <c r="L25" s="3">
        <f t="shared" si="7"/>
        <v>-112890730.42977066</v>
      </c>
      <c r="M25" s="3"/>
    </row>
    <row r="26" spans="1:13">
      <c r="B26" t="s">
        <v>25</v>
      </c>
      <c r="C26" s="3">
        <f>C25*((1+_xlfn.XLOOKUP(C$2,'Interest and Inflation WC'!$A$2:$A$11,'Interest and Inflation WC'!$C$2:$C$11))^(1/2)-1)</f>
        <v>-75005.893281623721</v>
      </c>
      <c r="D26" s="3">
        <f>D25*((1+_xlfn.XLOOKUP(D$2,'Interest and Inflation WC'!$A$2:$A$11,'Interest and Inflation WC'!$C$2:$C$11))^(1/2)-1)</f>
        <v>-156082.64332469509</v>
      </c>
      <c r="E26" s="3">
        <f>E25*((1+_xlfn.XLOOKUP(E$2,'Interest and Inflation WC'!$A$2:$A$11,'Interest and Inflation WC'!$C$2:$C$11))^(1/2)-1)</f>
        <v>-242810.90010745748</v>
      </c>
      <c r="F26" s="3">
        <f>F25*((1+_xlfn.XLOOKUP(F$2,'Interest and Inflation WC'!$A$2:$A$11,'Interest and Inflation WC'!$C$2:$C$11))^(1/2)-1)</f>
        <v>-335112.80990972143</v>
      </c>
      <c r="G26" s="3">
        <f>G25*((1+_xlfn.XLOOKUP(G$2,'Interest and Inflation WC'!$A$2:$A$11,'Interest and Inflation WC'!$C$2:$C$11))^(1/2)-1)</f>
        <v>-433089.9516375743</v>
      </c>
      <c r="H26" s="3">
        <f>H25*((1+_xlfn.XLOOKUP(H$2,'Interest and Inflation WC'!$A$2:$A$11,'Interest and Inflation WC'!$C$2:$C$11))^(1/2)-1)</f>
        <v>-536937.34264178772</v>
      </c>
      <c r="I26" s="3">
        <f>I25*((1+_xlfn.XLOOKUP(I$2,'Interest and Inflation WC'!$A$2:$A$11,'Interest and Inflation WC'!$C$2:$C$11))^(1/2)-1)</f>
        <v>-646898.74463545054</v>
      </c>
      <c r="J26" s="3">
        <f>J25*((1+_xlfn.XLOOKUP(J$2,'Interest and Inflation WC'!$A$2:$A$11,'Interest and Inflation WC'!$C$2:$C$11))^(1/2)-1)</f>
        <v>-763244.22501724609</v>
      </c>
      <c r="K26" s="3">
        <f>K25*((1+_xlfn.XLOOKUP(K$2,'Interest and Inflation WC'!$A$2:$A$11,'Interest and Inflation WC'!$C$2:$C$11))^(1/2)-1)</f>
        <v>-886259.50391908071</v>
      </c>
      <c r="L26" s="3">
        <f>L25*((1+_xlfn.XLOOKUP(L$2,'Interest and Inflation WC'!$A$2:$A$11,'Interest and Inflation WC'!$C$2:$C$11))^(1/2)-1)</f>
        <v>-1016241.2922112562</v>
      </c>
      <c r="M26" s="3"/>
    </row>
    <row r="27" spans="1:13">
      <c r="B27" t="s">
        <v>26</v>
      </c>
      <c r="C27" s="3">
        <f>C25+C26</f>
        <v>-8568354.2205616385</v>
      </c>
      <c r="D27" s="3">
        <f t="shared" ref="D27:L27" si="8">D25+D26</f>
        <v>-17690446.146915104</v>
      </c>
      <c r="E27" s="3">
        <f t="shared" si="8"/>
        <v>-27393217.543561324</v>
      </c>
      <c r="F27" s="3">
        <f t="shared" si="8"/>
        <v>-37703487.919813685</v>
      </c>
      <c r="G27" s="3">
        <f t="shared" si="8"/>
        <v>-48648495.565911599</v>
      </c>
      <c r="H27" s="3">
        <f t="shared" si="8"/>
        <v>-60256203.781094141</v>
      </c>
      <c r="I27" s="3">
        <f t="shared" si="8"/>
        <v>-72555478.928916648</v>
      </c>
      <c r="J27" s="3">
        <f t="shared" si="8"/>
        <v>-85576199.51934433</v>
      </c>
      <c r="K27" s="3">
        <f t="shared" si="8"/>
        <v>-99349329.266834214</v>
      </c>
      <c r="L27" s="3">
        <f t="shared" si="8"/>
        <v>-113906971.72198191</v>
      </c>
      <c r="M27" s="3"/>
    </row>
    <row r="29" spans="1:13">
      <c r="A29" s="2"/>
      <c r="B29" s="2"/>
    </row>
    <row r="30" spans="1:1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3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3:12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3:12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3:12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3:12">
      <c r="C36" s="6"/>
      <c r="D36" s="6"/>
      <c r="E36" s="6"/>
      <c r="F36" s="6"/>
      <c r="G36" s="6"/>
      <c r="H36" s="6"/>
      <c r="I36" s="6"/>
      <c r="J36" s="6"/>
      <c r="K36" s="6"/>
      <c r="L3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8CE1-EB91-42D0-95C3-58B5E696F423}">
  <dimension ref="A1:P13"/>
  <sheetViews>
    <sheetView zoomScale="144" zoomScaleNormal="100" workbookViewId="0">
      <selection activeCell="J24" sqref="J24"/>
    </sheetView>
  </sheetViews>
  <sheetFormatPr defaultColWidth="8.85546875" defaultRowHeight="14.45"/>
  <cols>
    <col min="1" max="1" width="27.85546875" bestFit="1" customWidth="1"/>
    <col min="2" max="2" width="21.28515625" bestFit="1" customWidth="1"/>
    <col min="3" max="4" width="17.28515625" bestFit="1" customWidth="1"/>
    <col min="5" max="5" width="18.28515625" bestFit="1" customWidth="1"/>
    <col min="7" max="7" width="26.85546875" bestFit="1" customWidth="1"/>
    <col min="8" max="8" width="17.28515625" bestFit="1" customWidth="1"/>
    <col min="9" max="9" width="16" bestFit="1" customWidth="1"/>
    <col min="10" max="10" width="16.28515625" bestFit="1" customWidth="1"/>
    <col min="11" max="11" width="17.28515625" bestFit="1" customWidth="1"/>
    <col min="13" max="13" width="26.85546875" bestFit="1" customWidth="1"/>
    <col min="14" max="15" width="16.28515625" bestFit="1" customWidth="1"/>
    <col min="16" max="16" width="16.42578125" bestFit="1" customWidth="1"/>
    <col min="17" max="17" width="16.28515625" bestFit="1" customWidth="1"/>
  </cols>
  <sheetData>
    <row r="1" spans="1:16">
      <c r="A1" s="1" t="s">
        <v>59</v>
      </c>
      <c r="D1" s="1" t="s">
        <v>60</v>
      </c>
      <c r="G1" s="1" t="s">
        <v>61</v>
      </c>
    </row>
    <row r="2" spans="1:16">
      <c r="B2" s="2" t="s">
        <v>0</v>
      </c>
      <c r="C2" s="2"/>
      <c r="E2" s="2" t="s">
        <v>0</v>
      </c>
      <c r="H2" s="2" t="s">
        <v>0</v>
      </c>
      <c r="I2" s="2"/>
      <c r="J2" s="2"/>
      <c r="O2" s="2"/>
      <c r="P2" s="2"/>
    </row>
    <row r="3" spans="1:16">
      <c r="A3" s="2" t="s">
        <v>6</v>
      </c>
      <c r="B3" s="6">
        <f>'Workers Compensation'!M21</f>
        <v>-113906971.72198191</v>
      </c>
      <c r="C3" s="6"/>
      <c r="D3" s="2" t="s">
        <v>6</v>
      </c>
      <c r="E3" s="6">
        <f>'Workers Compensation'!F27</f>
        <v>-37703487.919813685</v>
      </c>
      <c r="G3" s="2" t="s">
        <v>6</v>
      </c>
      <c r="H3" s="6">
        <f>'Workers Compensation'!D27</f>
        <v>-17690446.146915104</v>
      </c>
      <c r="I3" s="6"/>
      <c r="J3" s="6"/>
      <c r="O3" s="6"/>
      <c r="P3" s="6"/>
    </row>
    <row r="4" spans="1:16">
      <c r="A4" s="2" t="s">
        <v>62</v>
      </c>
      <c r="B4" s="6">
        <f>'Workers Compensation'!M12</f>
        <v>1274629.2682902461</v>
      </c>
      <c r="C4" s="6"/>
      <c r="D4" s="2" t="s">
        <v>62</v>
      </c>
      <c r="E4" s="6">
        <f>'Workers Compensation'!F18</f>
        <v>350497.10597322724</v>
      </c>
      <c r="G4" s="2" t="s">
        <v>62</v>
      </c>
      <c r="H4" s="6">
        <f>'Workers Compensation'!C18</f>
        <v>71981.807822747185</v>
      </c>
      <c r="I4" s="6"/>
      <c r="J4" s="6"/>
      <c r="O4" s="6"/>
      <c r="P4" s="6"/>
    </row>
    <row r="5" spans="1:16">
      <c r="A5" s="2" t="s">
        <v>10</v>
      </c>
      <c r="B5" s="6">
        <f>'Workers Compensation'!M3</f>
        <v>114412149.23522553</v>
      </c>
      <c r="C5" s="6"/>
      <c r="D5" s="2" t="s">
        <v>10</v>
      </c>
      <c r="E5" s="6">
        <f>'Workers Compensation'!F9</f>
        <v>37729153.537741654</v>
      </c>
      <c r="G5" s="2" t="s">
        <v>10</v>
      </c>
      <c r="H5" s="6">
        <f>'Workers Compensation'!C9</f>
        <v>8558981.3071171641</v>
      </c>
      <c r="I5" s="6"/>
      <c r="J5" s="6"/>
      <c r="O5" s="6"/>
      <c r="P5" s="6"/>
    </row>
    <row r="7" spans="1:16">
      <c r="C7" s="2"/>
      <c r="D7" s="2"/>
      <c r="E7" s="2"/>
      <c r="F7" s="2"/>
    </row>
    <row r="8" spans="1:16">
      <c r="A8" s="2" t="s">
        <v>56</v>
      </c>
      <c r="B8" s="12">
        <v>25238578</v>
      </c>
      <c r="C8" s="11"/>
    </row>
    <row r="10" spans="1:16">
      <c r="B10" s="2" t="s">
        <v>63</v>
      </c>
      <c r="C10" s="2"/>
    </row>
    <row r="11" spans="1:16">
      <c r="A11" s="2" t="s">
        <v>64</v>
      </c>
      <c r="B11" s="11">
        <v>16588000</v>
      </c>
    </row>
    <row r="12" spans="1:16">
      <c r="A12" s="2" t="s">
        <v>58</v>
      </c>
      <c r="B12" s="11">
        <v>24807746</v>
      </c>
    </row>
    <row r="13" spans="1:16">
      <c r="A13" s="2" t="s">
        <v>65</v>
      </c>
      <c r="B13" s="11">
        <v>33176000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8EB3-C694-4707-A3AA-00B542319C4D}">
  <dimension ref="A1:M36"/>
  <sheetViews>
    <sheetView zoomScale="110" zoomScaleNormal="110" workbookViewId="0">
      <selection activeCell="D15" sqref="D15:L15"/>
    </sheetView>
  </sheetViews>
  <sheetFormatPr defaultColWidth="8.85546875" defaultRowHeight="14.45"/>
  <cols>
    <col min="1" max="1" width="31.42578125" bestFit="1" customWidth="1"/>
    <col min="2" max="2" width="37.42578125" bestFit="1" customWidth="1"/>
    <col min="3" max="9" width="17.5703125" bestFit="1" customWidth="1"/>
    <col min="10" max="13" width="18.85546875" bestFit="1" customWidth="1"/>
    <col min="14" max="14" width="14.140625" customWidth="1"/>
  </cols>
  <sheetData>
    <row r="1" spans="1:13">
      <c r="A1" s="9" t="s">
        <v>14</v>
      </c>
    </row>
    <row r="2" spans="1:13">
      <c r="A2" s="2"/>
      <c r="B2" s="2" t="s">
        <v>30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3">
      <c r="B3" t="s">
        <v>20</v>
      </c>
      <c r="C3" s="4">
        <v>0</v>
      </c>
      <c r="D3" s="3">
        <f>C9</f>
        <v>3242954441.5056181</v>
      </c>
      <c r="E3" s="3">
        <f t="shared" ref="E3:M3" si="0">D9</f>
        <v>6700287774.8289175</v>
      </c>
      <c r="F3" s="3">
        <f t="shared" si="0"/>
        <v>10383109250.256718</v>
      </c>
      <c r="G3" s="3">
        <f t="shared" si="0"/>
        <v>14302315320.21767</v>
      </c>
      <c r="H3" s="3">
        <f t="shared" si="0"/>
        <v>18468865294.966057</v>
      </c>
      <c r="I3" s="3">
        <f t="shared" si="0"/>
        <v>22893941691.140594</v>
      </c>
      <c r="J3" s="3">
        <f t="shared" si="0"/>
        <v>27589045555.228748</v>
      </c>
      <c r="K3" s="3">
        <f t="shared" si="0"/>
        <v>32566055529.932213</v>
      </c>
      <c r="L3" s="3">
        <f t="shared" si="0"/>
        <v>37837266872.689857</v>
      </c>
      <c r="M3" s="3">
        <f t="shared" si="0"/>
        <v>43415419644.085838</v>
      </c>
    </row>
    <row r="4" spans="1:13">
      <c r="B4" t="s">
        <v>56</v>
      </c>
      <c r="C4" s="10">
        <f>'Summary CL'!$B$8</f>
        <v>14788826443</v>
      </c>
      <c r="D4" s="3">
        <f>$C4*(_xlfn.XLOOKUP(C2, 'Interest and Inflation CL'!$A$2:$A$11, 'Interest and Inflation CL'!$F$2:$F$11))*(_xlfn.XLOOKUP(C2, 'Interest and Inflation CL'!$A$2:$A$11, 'Interest and Inflation CL'!$K$2:$K$11))</f>
        <v>15489403586.567368</v>
      </c>
      <c r="E4" s="3">
        <f>$C4*(_xlfn.XLOOKUP(D2, 'Interest and Inflation CL'!$A$2:$A$11, 'Interest and Inflation CL'!$F$2:$F$11))*(_xlfn.XLOOKUP(D2, 'Interest and Inflation CL'!$A$2:$A$11, 'Interest and Inflation CL'!$K$2:$K$11))</f>
        <v>16219516902.15699</v>
      </c>
      <c r="F4" s="3">
        <f>$C4*(_xlfn.XLOOKUP(E2, 'Interest and Inflation CL'!$A$2:$A$11, 'Interest and Inflation CL'!$F$2:$F$11))*(_xlfn.XLOOKUP(E2, 'Interest and Inflation CL'!$A$2:$A$11, 'Interest and Inflation CL'!$K$2:$K$11))</f>
        <v>16978781659.963181</v>
      </c>
      <c r="G4" s="3">
        <f>$C4*(_xlfn.XLOOKUP(F2, 'Interest and Inflation CL'!$A$2:$A$11, 'Interest and Inflation CL'!$F$2:$F$11))*(_xlfn.XLOOKUP(F2, 'Interest and Inflation CL'!$A$2:$A$11, 'Interest and Inflation CL'!$K$2:$K$11))</f>
        <v>17767315692.627304</v>
      </c>
      <c r="H4" s="3">
        <f>$C4*(_xlfn.XLOOKUP(G2, 'Interest and Inflation CL'!$A$2:$A$11, 'Interest and Inflation CL'!$F$2:$F$11))*(_xlfn.XLOOKUP(G2, 'Interest and Inflation CL'!$A$2:$A$11, 'Interest and Inflation CL'!$K$2:$K$11))</f>
        <v>18585559703.756531</v>
      </c>
      <c r="I4" s="3">
        <f>$C4*(_xlfn.XLOOKUP(H2, 'Interest and Inflation CL'!$A$2:$A$11, 'Interest and Inflation CL'!$F$2:$F$11))*(_xlfn.XLOOKUP(H2, 'Interest and Inflation CL'!$A$2:$A$11, 'Interest and Inflation CL'!$K$2:$K$11))</f>
        <v>19434166173.238464</v>
      </c>
      <c r="J4" s="3">
        <f>$C4*(_xlfn.XLOOKUP(I2, 'Interest and Inflation CL'!$A$2:$A$11, 'Interest and Inflation CL'!$F$2:$F$11))*(_xlfn.XLOOKUP(I2, 'Interest and Inflation CL'!$A$2:$A$11, 'Interest and Inflation CL'!$K$2:$K$11))</f>
        <v>20313930811.011974</v>
      </c>
      <c r="K4" s="3">
        <f>$C4*(_xlfn.XLOOKUP(J2, 'Interest and Inflation CL'!$A$2:$A$11, 'Interest and Inflation CL'!$F$2:$F$11))*(_xlfn.XLOOKUP(J2, 'Interest and Inflation CL'!$A$2:$A$11, 'Interest and Inflation CL'!$K$2:$K$11))</f>
        <v>21225750283.845837</v>
      </c>
      <c r="L4" s="3">
        <f>$C4*(_xlfn.XLOOKUP(K2, 'Interest and Inflation CL'!$A$2:$A$11, 'Interest and Inflation CL'!$F$2:$F$11))*(_xlfn.XLOOKUP(K2, 'Interest and Inflation CL'!$A$2:$A$11, 'Interest and Inflation CL'!$K$2:$K$11))</f>
        <v>22170596399.653999</v>
      </c>
      <c r="M4" s="3"/>
    </row>
    <row r="5" spans="1:13">
      <c r="A5" t="s">
        <v>27</v>
      </c>
      <c r="B5" t="s">
        <v>22</v>
      </c>
      <c r="C5" s="11">
        <f>(C3+C4)*((1+_xlfn.XLOOKUP(C$2,'Interest and Inflation CL'!$A$2:$A$11,'Interest and Inflation CL'!$C$2:$C$11))^(1/2)-1)</f>
        <v>130602101.22093847</v>
      </c>
      <c r="D5" s="3">
        <f>(D3+D4)*((1+_xlfn.XLOOKUP(D$2,'Interest and Inflation CL'!$A$2:$A$11,'Interest and Inflation CL'!$C$2:$C$11))^(1/2)-1)</f>
        <v>166746626.19646937</v>
      </c>
      <c r="E5" s="3">
        <f>(E3+E4)*((1+_xlfn.XLOOKUP(E$2,'Interest and Inflation CL'!$A$2:$A$11,'Interest and Inflation CL'!$C$2:$C$11))^(1/2)-1)</f>
        <v>204975876.6779967</v>
      </c>
      <c r="F5" s="3">
        <f>(F3+F4)*((1+_xlfn.XLOOKUP(F$2,'Interest and Inflation CL'!$A$2:$A$11,'Interest and Inflation CL'!$C$2:$C$11))^(1/2)-1)</f>
        <v>245376474.6366201</v>
      </c>
      <c r="G5" s="3">
        <f>(G3+G4)*((1+_xlfn.XLOOKUP(G$2,'Interest and Inflation CL'!$A$2:$A$11,'Interest and Inflation CL'!$C$2:$C$11))^(1/2)-1)</f>
        <v>288062181.94037294</v>
      </c>
      <c r="H5" s="3">
        <f>(H3+H4)*((1+_xlfn.XLOOKUP(H$2,'Interest and Inflation CL'!$A$2:$A$11,'Interest and Inflation CL'!$C$2:$C$11))^(1/2)-1)</f>
        <v>333157215.05786711</v>
      </c>
      <c r="I5" s="3">
        <f>(I3+I4)*((1+_xlfn.XLOOKUP(I$2,'Interest and Inflation CL'!$A$2:$A$11,'Interest and Inflation CL'!$C$2:$C$11))^(1/2)-1)</f>
        <v>380789048.67942733</v>
      </c>
      <c r="J5" s="3">
        <f>(J3+J4)*((1+_xlfn.XLOOKUP(J$2,'Interest and Inflation CL'!$A$2:$A$11,'Interest and Inflation CL'!$C$2:$C$11))^(1/2)-1)</f>
        <v>431085910.70539397</v>
      </c>
      <c r="K5" s="3">
        <f>(K3+K4)*((1+_xlfn.XLOOKUP(K$2,'Interest and Inflation CL'!$A$2:$A$11,'Interest and Inflation CL'!$C$2:$C$11))^(1/2)-1)</f>
        <v>484176445.54675531</v>
      </c>
      <c r="L5" s="3">
        <f>(L3+L4)*((1+_xlfn.XLOOKUP(L$2,'Interest and Inflation CL'!$A$2:$A$11,'Interest and Inflation CL'!$C$2:$C$11))^(1/2)-1)</f>
        <v>540190220.07001984</v>
      </c>
      <c r="M5" s="3"/>
    </row>
    <row r="6" spans="1:13">
      <c r="A6" t="s">
        <v>31</v>
      </c>
      <c r="B6" t="s">
        <v>57</v>
      </c>
      <c r="C6" s="10">
        <f>'Summary CL'!$B$11*((1+_xlfn.XLOOKUP(C$2,'Interest and Inflation CL'!$A$2:$A$11,'Interest and Inflation CL'!$D$2:$D$11))^(1/2))*(1+'Interest and Inflation CL'!$K$12)</f>
        <v>11704862365.909788</v>
      </c>
      <c r="D6" s="3">
        <f>'Summary CL'!$B$11*((1+_xlfn.XLOOKUP(D$2,'Interest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12257933456.730127</v>
      </c>
      <c r="E6" s="3">
        <f>'Summary CL'!$B$11*((1+_xlfn.XLOOKUP(E$2,'Interest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12833706205.804461</v>
      </c>
      <c r="F6" s="3">
        <f>'Summary CL'!$B$11*((1+_xlfn.XLOOKUP(F$2,'Interest and Inflation CL'!$A$2:$A$11,'Interest and Inflation CL'!$D$2:$D$11))^(1/2))*_xlfn.XLOOKUP(F$2,'Interest and Inflation CL'!$G$2:$G$11,'Interest and Inflation CL'!$F$2:$F$11)*(_xlfn.XLOOKUP(F$2,'Interest and Inflation CL'!$G$2:$G$11,'Interest and Inflation CL'!$K$2:$K$11) + 'Interest and Inflation CL'!$K$12)</f>
        <v>13432072639.938574</v>
      </c>
      <c r="G6" s="3">
        <f>'Summary CL'!$B$11*((1+_xlfn.XLOOKUP(G$2,'Interest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14053245727.839495</v>
      </c>
      <c r="H6" s="3">
        <f>'Summary CL'!$B$11*((1+_xlfn.XLOOKUP(H$2,'Interest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14697646275.456533</v>
      </c>
      <c r="I6" s="3">
        <f>'Summary CL'!$B$11*((1+_xlfn.XLOOKUP(I$2,'Interest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15365833042.450039</v>
      </c>
      <c r="J6" s="3">
        <f>'Summary CL'!$B$11*((1+_xlfn.XLOOKUP(J$2,'Interest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16058459629.409</v>
      </c>
      <c r="K6" s="3">
        <f>'Summary CL'!$B$11*((1+_xlfn.XLOOKUP(K$2,'Interest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16776247986.157366</v>
      </c>
      <c r="L6" s="3">
        <f>'Summary CL'!$B$11*((1+_xlfn.XLOOKUP(L$2,'Interest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17519972230.641338</v>
      </c>
      <c r="M6" s="3"/>
    </row>
    <row r="7" spans="1:13">
      <c r="B7" t="s">
        <v>24</v>
      </c>
      <c r="C7" s="3">
        <f>C3+C4+C5-C6</f>
        <v>3214566178.3111496</v>
      </c>
      <c r="D7" s="3">
        <f t="shared" ref="D7:L7" si="1">D3+D4+D5-D6</f>
        <v>6641171197.5393276</v>
      </c>
      <c r="E7" s="3">
        <f t="shared" si="1"/>
        <v>10291074347.859446</v>
      </c>
      <c r="F7" s="3">
        <f t="shared" si="1"/>
        <v>14175194744.917944</v>
      </c>
      <c r="G7" s="3">
        <f t="shared" si="1"/>
        <v>18304447466.945854</v>
      </c>
      <c r="H7" s="3">
        <f t="shared" si="1"/>
        <v>22689935938.323921</v>
      </c>
      <c r="I7" s="3">
        <f t="shared" si="1"/>
        <v>27343063870.608448</v>
      </c>
      <c r="J7" s="3">
        <f t="shared" si="1"/>
        <v>32275602647.537113</v>
      </c>
      <c r="K7" s="3">
        <f t="shared" si="1"/>
        <v>37499734273.167435</v>
      </c>
      <c r="L7" s="3">
        <f t="shared" si="1"/>
        <v>43028081261.772537</v>
      </c>
      <c r="M7" s="3"/>
    </row>
    <row r="8" spans="1:13">
      <c r="B8" t="s">
        <v>25</v>
      </c>
      <c r="C8" s="3">
        <f>C7*((1+_xlfn.XLOOKUP(C$2,'Interest and Inflation CL'!$A$2:$A$11,'Interest and Inflation CL'!$C$2:$C$11))^(1/2)-1)</f>
        <v>28388263.194468413</v>
      </c>
      <c r="D8" s="3">
        <f>D7*((1+_xlfn.XLOOKUP(D$2,'Interest and Inflation CL'!$A$2:$A$11,'Interest and Inflation CL'!$C$2:$C$11))^(1/2)-1)</f>
        <v>59116577.289590031</v>
      </c>
      <c r="E8" s="3">
        <f>E7*((1+_xlfn.XLOOKUP(E$2,'Interest and Inflation CL'!$A$2:$A$11,'Interest and Inflation CL'!$C$2:$C$11))^(1/2)-1)</f>
        <v>92034902.397271857</v>
      </c>
      <c r="F8" s="3">
        <f>F7*((1+_xlfn.XLOOKUP(F$2,'Interest and Inflation CL'!$A$2:$A$11,'Interest and Inflation CL'!$C$2:$C$11))^(1/2)-1)</f>
        <v>127120575.29972643</v>
      </c>
      <c r="G8" s="3">
        <f>G7*((1+_xlfn.XLOOKUP(G$2,'Interest and Inflation CL'!$A$2:$A$11,'Interest and Inflation CL'!$C$2:$C$11))^(1/2)-1)</f>
        <v>164417828.02020431</v>
      </c>
      <c r="H8" s="3">
        <f>H7*((1+_xlfn.XLOOKUP(H$2,'Interest and Inflation CL'!$A$2:$A$11,'Interest and Inflation CL'!$C$2:$C$11))^(1/2)-1)</f>
        <v>204005752.81667465</v>
      </c>
      <c r="I8" s="3">
        <f>I7*((1+_xlfn.XLOOKUP(I$2,'Interest and Inflation CL'!$A$2:$A$11,'Interest and Inflation CL'!$C$2:$C$11))^(1/2)-1)</f>
        <v>245981684.6203019</v>
      </c>
      <c r="J8" s="3">
        <f>J7*((1+_xlfn.XLOOKUP(J$2,'Interest and Inflation CL'!$A$2:$A$11,'Interest and Inflation CL'!$C$2:$C$11))^(1/2)-1)</f>
        <v>290452882.39509982</v>
      </c>
      <c r="K8" s="3">
        <f>K7*((1+_xlfn.XLOOKUP(K$2,'Interest and Inflation CL'!$A$2:$A$11,'Interest and Inflation CL'!$C$2:$C$11))^(1/2)-1)</f>
        <v>337532599.52242589</v>
      </c>
      <c r="L8" s="3">
        <f>L7*((1+_xlfn.XLOOKUP(L$2,'Interest and Inflation CL'!$A$2:$A$11,'Interest and Inflation CL'!$C$2:$C$11))^(1/2)-1)</f>
        <v>387338382.31330413</v>
      </c>
      <c r="M8" s="3"/>
    </row>
    <row r="9" spans="1:13">
      <c r="B9" t="s">
        <v>26</v>
      </c>
      <c r="C9" s="3">
        <f>C7+C8</f>
        <v>3242954441.5056181</v>
      </c>
      <c r="D9" s="3">
        <f t="shared" ref="D9:L9" si="2">D7+D8</f>
        <v>6700287774.8289175</v>
      </c>
      <c r="E9" s="3">
        <f t="shared" si="2"/>
        <v>10383109250.256718</v>
      </c>
      <c r="F9" s="3">
        <f t="shared" si="2"/>
        <v>14302315320.21767</v>
      </c>
      <c r="G9" s="3">
        <f t="shared" si="2"/>
        <v>18468865294.966057</v>
      </c>
      <c r="H9" s="3">
        <f t="shared" si="2"/>
        <v>22893941691.140594</v>
      </c>
      <c r="I9" s="3">
        <f t="shared" si="2"/>
        <v>27589045555.228748</v>
      </c>
      <c r="J9" s="3">
        <f t="shared" si="2"/>
        <v>32566055529.932213</v>
      </c>
      <c r="K9" s="3">
        <f t="shared" si="2"/>
        <v>37837266872.689857</v>
      </c>
      <c r="L9" s="3">
        <f t="shared" si="2"/>
        <v>43415419644.085838</v>
      </c>
      <c r="M9" s="3"/>
    </row>
    <row r="11" spans="1:13">
      <c r="A11" s="2"/>
      <c r="B11" s="2" t="s">
        <v>58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</row>
    <row r="12" spans="1:13">
      <c r="B12" t="s">
        <v>20</v>
      </c>
      <c r="C12" s="4">
        <v>0</v>
      </c>
      <c r="D12" s="3">
        <f t="shared" ref="D12:M12" si="3">C18</f>
        <v>145372375.14538822</v>
      </c>
      <c r="E12" s="3">
        <f t="shared" si="3"/>
        <v>303140328.09504229</v>
      </c>
      <c r="F12" s="3">
        <f t="shared" si="3"/>
        <v>474331300.97253722</v>
      </c>
      <c r="G12" s="3">
        <f t="shared" si="3"/>
        <v>659866556.39810288</v>
      </c>
      <c r="H12" s="3">
        <f t="shared" si="3"/>
        <v>860614670.49994957</v>
      </c>
      <c r="I12" s="3">
        <f t="shared" si="3"/>
        <v>1077424514.9302206</v>
      </c>
      <c r="J12" s="3">
        <f t="shared" si="3"/>
        <v>1311145740.3016036</v>
      </c>
      <c r="K12" s="3">
        <f t="shared" si="3"/>
        <v>1562641742.7655127</v>
      </c>
      <c r="L12" s="3">
        <f t="shared" si="3"/>
        <v>1832798009.9814069</v>
      </c>
      <c r="M12" s="3">
        <f t="shared" si="3"/>
        <v>2122527743.8109949</v>
      </c>
    </row>
    <row r="13" spans="1:13">
      <c r="B13" t="s">
        <v>56</v>
      </c>
      <c r="C13" s="10">
        <f>'Summary CL'!$B$8</f>
        <v>14788826443</v>
      </c>
      <c r="D13" s="3">
        <f>$C13*(_xlfn.XLOOKUP(C11, 'Interest and Inflation CL'!$A$2:$A$11, 'Interest and Inflation CL'!$F$2:$F$11))*(_xlfn.XLOOKUP(C11, 'Interest and Inflation CL'!$A$2:$A$11, 'Interest and Inflation CL'!$K$2:$K$11))</f>
        <v>15489403586.567368</v>
      </c>
      <c r="E13" s="3">
        <f>$C13*(_xlfn.XLOOKUP(D11, 'Interest and Inflation CL'!$A$2:$A$11, 'Interest and Inflation CL'!$F$2:$F$11))*(_xlfn.XLOOKUP(D11, 'Interest and Inflation CL'!$A$2:$A$11, 'Interest and Inflation CL'!$K$2:$K$11))</f>
        <v>16219516902.15699</v>
      </c>
      <c r="F13" s="3">
        <f>$C13*(_xlfn.XLOOKUP(E11, 'Interest and Inflation CL'!$A$2:$A$11, 'Interest and Inflation CL'!$F$2:$F$11))*(_xlfn.XLOOKUP(E11, 'Interest and Inflation CL'!$A$2:$A$11, 'Interest and Inflation CL'!$K$2:$K$11))</f>
        <v>16978781659.963181</v>
      </c>
      <c r="G13" s="3">
        <f>$C13*(_xlfn.XLOOKUP(F11, 'Interest and Inflation CL'!$A$2:$A$11, 'Interest and Inflation CL'!$F$2:$F$11))*(_xlfn.XLOOKUP(F11, 'Interest and Inflation CL'!$A$2:$A$11, 'Interest and Inflation CL'!$K$2:$K$11))</f>
        <v>17767315692.627304</v>
      </c>
      <c r="H13" s="3">
        <f>$C13*(_xlfn.XLOOKUP(G11, 'Interest and Inflation CL'!$A$2:$A$11, 'Interest and Inflation CL'!$F$2:$F$11))*(_xlfn.XLOOKUP(G11, 'Interest and Inflation CL'!$A$2:$A$11, 'Interest and Inflation CL'!$K$2:$K$11))</f>
        <v>18585559703.756531</v>
      </c>
      <c r="I13" s="3">
        <f>$C13*(_xlfn.XLOOKUP(H11, 'Interest and Inflation CL'!$A$2:$A$11, 'Interest and Inflation CL'!$F$2:$F$11))*(_xlfn.XLOOKUP(H11, 'Interest and Inflation CL'!$A$2:$A$11, 'Interest and Inflation CL'!$K$2:$K$11))</f>
        <v>19434166173.238464</v>
      </c>
      <c r="J13" s="3">
        <f>$C13*(_xlfn.XLOOKUP(I11, 'Interest and Inflation CL'!$A$2:$A$11, 'Interest and Inflation CL'!$F$2:$F$11))*(_xlfn.XLOOKUP(I11, 'Interest and Inflation CL'!$A$2:$A$11, 'Interest and Inflation CL'!$K$2:$K$11))</f>
        <v>20313930811.011974</v>
      </c>
      <c r="K13" s="3">
        <f>$C13*(_xlfn.XLOOKUP(J11, 'Interest and Inflation CL'!$A$2:$A$11, 'Interest and Inflation CL'!$F$2:$F$11))*(_xlfn.XLOOKUP(J11, 'Interest and Inflation CL'!$A$2:$A$11, 'Interest and Inflation CL'!$K$2:$K$11))</f>
        <v>21225750283.845837</v>
      </c>
      <c r="L13" s="3">
        <f>$C13*(_xlfn.XLOOKUP(K11, 'Interest and Inflation CL'!$A$2:$A$11, 'Interest and Inflation CL'!$F$2:$F$11))*(_xlfn.XLOOKUP(K11, 'Interest and Inflation CL'!$A$2:$A$11, 'Interest and Inflation CL'!$K$2:$K$11))</f>
        <v>22170596399.653999</v>
      </c>
      <c r="M13" s="3"/>
    </row>
    <row r="14" spans="1:13">
      <c r="B14" t="s">
        <v>22</v>
      </c>
      <c r="C14" s="3">
        <f>(C12+C13)*((1+_xlfn.XLOOKUP(C$2,'Interest and Inflation CL'!$A$2:$A$11,'Interest and Inflation CL'!$C$2:$C$11))^(1/2)-1)</f>
        <v>130602101.22093847</v>
      </c>
      <c r="D14" s="3">
        <f>(D12+D13)*((1+_xlfn.XLOOKUP(D$2,'Interest and Inflation CL'!$A$2:$A$11,'Interest and Inflation CL'!$C$2:$C$11))^(1/2)-1)</f>
        <v>139173409.93836698</v>
      </c>
      <c r="E14" s="3">
        <f>(E12+E13)*((1+_xlfn.XLOOKUP(E$2,'Interest and Inflation CL'!$A$2:$A$11,'Interest and Inflation CL'!$C$2:$C$11))^(1/2)-1)</f>
        <v>147765052.91171306</v>
      </c>
      <c r="F14" s="3">
        <f>(F12+F13)*((1+_xlfn.XLOOKUP(F$2,'Interest and Inflation CL'!$A$2:$A$11,'Interest and Inflation CL'!$C$2:$C$11))^(1/2)-1)</f>
        <v>156516351.29462224</v>
      </c>
      <c r="G14" s="3">
        <f>(G12+G13)*((1+_xlfn.XLOOKUP(G$2,'Interest and Inflation CL'!$A$2:$A$11,'Interest and Inflation CL'!$C$2:$C$11))^(1/2)-1)</f>
        <v>165520280.65246722</v>
      </c>
      <c r="H14" s="3">
        <f>(H12+H13)*((1+_xlfn.XLOOKUP(H$2,'Interest and Inflation CL'!$A$2:$A$11,'Interest and Inflation CL'!$C$2:$C$11))^(1/2)-1)</f>
        <v>174841015.56778428</v>
      </c>
      <c r="I14" s="3">
        <f>(I12+I13)*((1+_xlfn.XLOOKUP(I$2,'Interest and Inflation CL'!$A$2:$A$11,'Interest and Inflation CL'!$C$2:$C$11))^(1/2)-1)</f>
        <v>184524881.9076674</v>
      </c>
      <c r="J14" s="3">
        <f>(J12+J13)*((1+_xlfn.XLOOKUP(J$2,'Interest and Inflation CL'!$A$2:$A$11,'Interest and Inflation CL'!$C$2:$C$11))^(1/2)-1)</f>
        <v>194607235.84112561</v>
      </c>
      <c r="K14" s="3">
        <f>(K12+K13)*((1+_xlfn.XLOOKUP(K$2,'Interest and Inflation CL'!$A$2:$A$11,'Interest and Inflation CL'!$C$2:$C$11))^(1/2)-1)</f>
        <v>205116792.12569949</v>
      </c>
      <c r="L14" s="3">
        <f>(L12+L13)*((1+_xlfn.XLOOKUP(L$2,'Interest and Inflation CL'!$A$2:$A$11,'Interest and Inflation CL'!$C$2:$C$11))^(1/2)-1)</f>
        <v>216078330.43014428</v>
      </c>
      <c r="M14" s="3"/>
    </row>
    <row r="15" spans="1:13">
      <c r="B15" t="s">
        <v>57</v>
      </c>
      <c r="C15" s="4">
        <f>'Summary CL'!$B$12*((1+_xlfn.XLOOKUP(C$2,'Interest and Inflation CL'!$A$2:$A$11,'Interest and Inflation CL'!$D$2:$D$11))^(1/2))*(1+'Interest and Inflation CL'!$K$12)</f>
        <v>14775328733.74498</v>
      </c>
      <c r="D15" s="3">
        <f>'Summary CL'!$B$12*((1+_xlfn.XLOOKUP(D$2,'Interest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15473483647.877218</v>
      </c>
      <c r="E15" s="3">
        <f>'Summary CL'!$B$12*((1+_xlfn.XLOOKUP(E$2,'Interest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16200295410.165218</v>
      </c>
      <c r="F15" s="3">
        <f>'Summary CL'!$B$12*((1+_xlfn.XLOOKUP(F$2,'Interest and Inflation CL'!$A$2:$A$11,'Interest and Inflation CL'!$D$2:$D$11))^(1/2))*_xlfn.XLOOKUP(F$2,'Interest and Inflation CL'!$G$2:$G$11,'Interest and Inflation CL'!$F$2:$F$11)*(_xlfn.XLOOKUP(F$2,'Interest and Inflation CL'!$G$2:$G$11,'Interest and Inflation CL'!$K$2:$K$11) + 'Interest and Inflation CL'!$K$12)</f>
        <v>16955627723.454073</v>
      </c>
      <c r="G15" s="3">
        <f>'Summary CL'!$B$12*((1+_xlfn.XLOOKUP(G$2,'Interest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17739749423.254871</v>
      </c>
      <c r="H15" s="3">
        <f>'Summary CL'!$B$12*((1+_xlfn.XLOOKUP(H$2,'Interest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18553191703.018654</v>
      </c>
      <c r="I15" s="3">
        <f>'Summary CL'!$B$12*((1+_xlfn.XLOOKUP(I$2,'Interest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19396659898.477436</v>
      </c>
      <c r="J15" s="3">
        <f>'Summary CL'!$B$12*((1+_xlfn.XLOOKUP(J$2,'Interest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20270979065.344032</v>
      </c>
      <c r="K15" s="3">
        <f>'Summary CL'!$B$12*((1+_xlfn.XLOOKUP(K$2,'Interest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21177060538.211262</v>
      </c>
      <c r="L15" s="3">
        <f>'Summary CL'!$B$12*((1+_xlfn.XLOOKUP(L$2,'Interest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22115881504.744919</v>
      </c>
      <c r="M15" s="3"/>
    </row>
    <row r="16" spans="1:13">
      <c r="B16" t="s">
        <v>24</v>
      </c>
      <c r="C16" s="3">
        <f>C12+C13+C14-C15</f>
        <v>144099810.47595787</v>
      </c>
      <c r="D16" s="3">
        <f t="shared" ref="D16:L16" si="4">D12+D13+D14-D15</f>
        <v>300465723.7739048</v>
      </c>
      <c r="E16" s="3">
        <f t="shared" si="4"/>
        <v>470126872.99852753</v>
      </c>
      <c r="F16" s="3">
        <f t="shared" si="4"/>
        <v>654001588.7762661</v>
      </c>
      <c r="G16" s="3">
        <f t="shared" si="4"/>
        <v>852953106.42300034</v>
      </c>
      <c r="H16" s="3">
        <f t="shared" si="4"/>
        <v>1067823686.8056107</v>
      </c>
      <c r="I16" s="3">
        <f t="shared" si="4"/>
        <v>1299455671.5989189</v>
      </c>
      <c r="J16" s="3">
        <f t="shared" si="4"/>
        <v>1548704721.8106728</v>
      </c>
      <c r="K16" s="3">
        <f t="shared" si="4"/>
        <v>1816448280.5257874</v>
      </c>
      <c r="L16" s="3">
        <f t="shared" si="4"/>
        <v>2103591235.3206329</v>
      </c>
      <c r="M16" s="3"/>
    </row>
    <row r="17" spans="1:13">
      <c r="B17" t="s">
        <v>25</v>
      </c>
      <c r="C17" s="3">
        <f>C16*((1+_xlfn.XLOOKUP(C$2,'Interest and Inflation CL'!$A$2:$A$11,'Interest and Inflation CL'!$C$2:$C$11))^(1/2)-1)</f>
        <v>1272564.669430349</v>
      </c>
      <c r="D17" s="3">
        <f>D16*((1+_xlfn.XLOOKUP(D$2,'Interest and Inflation CL'!$A$2:$A$11,'Interest and Inflation CL'!$C$2:$C$11))^(1/2)-1)</f>
        <v>2674604.3211375093</v>
      </c>
      <c r="E17" s="3">
        <f>E16*((1+_xlfn.XLOOKUP(E$2,'Interest and Inflation CL'!$A$2:$A$11,'Interest and Inflation CL'!$C$2:$C$11))^(1/2)-1)</f>
        <v>4204427.9740097215</v>
      </c>
      <c r="F17" s="3">
        <f>F16*((1+_xlfn.XLOOKUP(F$2,'Interest and Inflation CL'!$A$2:$A$11,'Interest and Inflation CL'!$C$2:$C$11))^(1/2)-1)</f>
        <v>5864967.6218367405</v>
      </c>
      <c r="G17" s="3">
        <f>G16*((1+_xlfn.XLOOKUP(G$2,'Interest and Inflation CL'!$A$2:$A$11,'Interest and Inflation CL'!$C$2:$C$11))^(1/2)-1)</f>
        <v>7661564.0769491866</v>
      </c>
      <c r="H17" s="3">
        <f>H16*((1+_xlfn.XLOOKUP(H$2,'Interest and Inflation CL'!$A$2:$A$11,'Interest and Inflation CL'!$C$2:$C$11))^(1/2)-1)</f>
        <v>9600828.1246098299</v>
      </c>
      <c r="I17" s="3">
        <f>I16*((1+_xlfn.XLOOKUP(I$2,'Interest and Inflation CL'!$A$2:$A$11,'Interest and Inflation CL'!$C$2:$C$11))^(1/2)-1)</f>
        <v>11690068.702684673</v>
      </c>
      <c r="J17" s="3">
        <f>J16*((1+_xlfn.XLOOKUP(J$2,'Interest and Inflation CL'!$A$2:$A$11,'Interest and Inflation CL'!$C$2:$C$11))^(1/2)-1)</f>
        <v>13937020.954839906</v>
      </c>
      <c r="K17" s="3">
        <f>K16*((1+_xlfn.XLOOKUP(K$2,'Interest and Inflation CL'!$A$2:$A$11,'Interest and Inflation CL'!$C$2:$C$11))^(1/2)-1)</f>
        <v>16349729.455619501</v>
      </c>
      <c r="L17" s="3">
        <f>L16*((1+_xlfn.XLOOKUP(L$2,'Interest and Inflation CL'!$A$2:$A$11,'Interest and Inflation CL'!$C$2:$C$11))^(1/2)-1)</f>
        <v>18936508.490361936</v>
      </c>
      <c r="M17" s="3"/>
    </row>
    <row r="18" spans="1:13">
      <c r="B18" t="s">
        <v>26</v>
      </c>
      <c r="C18" s="3">
        <f>C16+C17</f>
        <v>145372375.14538822</v>
      </c>
      <c r="D18" s="3">
        <f t="shared" ref="D18:L18" si="5">D16+D17</f>
        <v>303140328.09504229</v>
      </c>
      <c r="E18" s="3">
        <f t="shared" si="5"/>
        <v>474331300.97253722</v>
      </c>
      <c r="F18" s="3">
        <f t="shared" si="5"/>
        <v>659866556.39810288</v>
      </c>
      <c r="G18" s="3">
        <f t="shared" si="5"/>
        <v>860614670.49994957</v>
      </c>
      <c r="H18" s="3">
        <f t="shared" si="5"/>
        <v>1077424514.9302206</v>
      </c>
      <c r="I18" s="3">
        <f t="shared" si="5"/>
        <v>1311145740.3016036</v>
      </c>
      <c r="J18" s="3">
        <f t="shared" si="5"/>
        <v>1562641742.7655127</v>
      </c>
      <c r="K18" s="3">
        <f t="shared" si="5"/>
        <v>1832798009.9814069</v>
      </c>
      <c r="L18" s="3">
        <f t="shared" si="5"/>
        <v>2122527743.8109949</v>
      </c>
      <c r="M18" s="3"/>
    </row>
    <row r="20" spans="1:13">
      <c r="A20" s="2"/>
      <c r="B20" s="2" t="s">
        <v>32</v>
      </c>
      <c r="C20">
        <v>0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</row>
    <row r="21" spans="1:13">
      <c r="B21" t="s">
        <v>20</v>
      </c>
      <c r="C21" s="4">
        <v>0</v>
      </c>
      <c r="D21" s="3">
        <f t="shared" ref="D21:M21" si="6">C27</f>
        <v>-2493134853.9909215</v>
      </c>
      <c r="E21" s="3">
        <f t="shared" si="6"/>
        <v>-5145922657.95574</v>
      </c>
      <c r="F21" s="3">
        <f t="shared" si="6"/>
        <v>-7965923611.0832272</v>
      </c>
      <c r="G21" s="3">
        <f t="shared" si="6"/>
        <v>-10960713275.004358</v>
      </c>
      <c r="H21" s="3">
        <f t="shared" si="6"/>
        <v>-14138018318.000441</v>
      </c>
      <c r="I21" s="3">
        <f t="shared" si="6"/>
        <v>-17505792023.266678</v>
      </c>
      <c r="J21" s="3">
        <f t="shared" si="6"/>
        <v>-21072257553.892773</v>
      </c>
      <c r="K21" s="3">
        <f t="shared" si="6"/>
        <v>-24845934253.887539</v>
      </c>
      <c r="L21" s="3">
        <f t="shared" si="6"/>
        <v>-28835655428.960281</v>
      </c>
      <c r="M21" s="3">
        <f t="shared" si="6"/>
        <v>-33050581945.205727</v>
      </c>
    </row>
    <row r="22" spans="1:13">
      <c r="B22" t="s">
        <v>56</v>
      </c>
      <c r="C22" s="4">
        <f>'Summary CL'!$B$8</f>
        <v>14788826443</v>
      </c>
      <c r="D22" s="3">
        <f>$C22*(_xlfn.XLOOKUP(C20, 'Interest and Inflation CL'!$A$2:$A$11, 'Interest and Inflation CL'!$F$2:$F$11))*(_xlfn.XLOOKUP(C20, 'Interest and Inflation CL'!$A$2:$A$11, 'Interest and Inflation CL'!$K$2:$K$11))</f>
        <v>15489403586.567368</v>
      </c>
      <c r="E22" s="3">
        <f>$C22*(_xlfn.XLOOKUP(D20, 'Interest and Inflation CL'!$A$2:$A$11, 'Interest and Inflation CL'!$F$2:$F$11))*(_xlfn.XLOOKUP(D20, 'Interest and Inflation CL'!$A$2:$A$11, 'Interest and Inflation CL'!$K$2:$K$11))</f>
        <v>16219516902.15699</v>
      </c>
      <c r="F22" s="3">
        <f>$C22*(_xlfn.XLOOKUP(E20, 'Interest and Inflation CL'!$A$2:$A$11, 'Interest and Inflation CL'!$F$2:$F$11))*(_xlfn.XLOOKUP(E20, 'Interest and Inflation CL'!$A$2:$A$11, 'Interest and Inflation CL'!$K$2:$K$11))</f>
        <v>16978781659.963181</v>
      </c>
      <c r="G22" s="3">
        <f>$C22*(_xlfn.XLOOKUP(F20, 'Interest and Inflation CL'!$A$2:$A$11, 'Interest and Inflation CL'!$F$2:$F$11))*(_xlfn.XLOOKUP(F20, 'Interest and Inflation CL'!$A$2:$A$11, 'Interest and Inflation CL'!$K$2:$K$11))</f>
        <v>17767315692.627304</v>
      </c>
      <c r="H22" s="3">
        <f>$C22*(_xlfn.XLOOKUP(G20, 'Interest and Inflation CL'!$A$2:$A$11, 'Interest and Inflation CL'!$F$2:$F$11))*(_xlfn.XLOOKUP(G20, 'Interest and Inflation CL'!$A$2:$A$11, 'Interest and Inflation CL'!$K$2:$K$11))</f>
        <v>18585559703.756531</v>
      </c>
      <c r="I22" s="3">
        <f>$C22*(_xlfn.XLOOKUP(H20, 'Interest and Inflation CL'!$A$2:$A$11, 'Interest and Inflation CL'!$F$2:$F$11))*(_xlfn.XLOOKUP(H20, 'Interest and Inflation CL'!$A$2:$A$11, 'Interest and Inflation CL'!$K$2:$K$11))</f>
        <v>19434166173.238464</v>
      </c>
      <c r="J22" s="3">
        <f>$C22*(_xlfn.XLOOKUP(I20, 'Interest and Inflation CL'!$A$2:$A$11, 'Interest and Inflation CL'!$F$2:$F$11))*(_xlfn.XLOOKUP(I20, 'Interest and Inflation CL'!$A$2:$A$11, 'Interest and Inflation CL'!$K$2:$K$11))</f>
        <v>20313930811.011974</v>
      </c>
      <c r="K22" s="3">
        <f>$C22*(_xlfn.XLOOKUP(J20, 'Interest and Inflation CL'!$A$2:$A$11, 'Interest and Inflation CL'!$F$2:$F$11))*(_xlfn.XLOOKUP(J20, 'Interest and Inflation CL'!$A$2:$A$11, 'Interest and Inflation CL'!$K$2:$K$11))</f>
        <v>21225750283.845837</v>
      </c>
      <c r="L22" s="3">
        <f>$C22*(_xlfn.XLOOKUP(K20, 'Interest and Inflation CL'!$A$2:$A$11, 'Interest and Inflation CL'!$F$2:$F$11))*(_xlfn.XLOOKUP(K20, 'Interest and Inflation CL'!$A$2:$A$11, 'Interest and Inflation CL'!$K$2:$K$11))</f>
        <v>22170596399.653999</v>
      </c>
      <c r="M22" s="3"/>
    </row>
    <row r="23" spans="1:13">
      <c r="B23" t="s">
        <v>22</v>
      </c>
      <c r="C23" s="3">
        <f>(C21+C22)*((1+_xlfn.XLOOKUP(C$2,'Interest and Inflation CL'!$A$2:$A$11,'Interest and Inflation CL'!$C$2:$C$11))^(1/2)-1)</f>
        <v>130602101.22093847</v>
      </c>
      <c r="D23" s="3">
        <f>(D21+D22)*((1+_xlfn.XLOOKUP(D$2,'Interest and Inflation CL'!$A$2:$A$11,'Interest and Inflation CL'!$C$2:$C$11))^(1/2)-1)</f>
        <v>115686661.60726359</v>
      </c>
      <c r="E23" s="3">
        <f>(E21+E22)*((1+_xlfn.XLOOKUP(E$2,'Interest and Inflation CL'!$A$2:$A$11,'Interest and Inflation CL'!$C$2:$C$11))^(1/2)-1)</f>
        <v>99033116.563193351</v>
      </c>
      <c r="F23" s="3">
        <f>(F21+F22)*((1+_xlfn.XLOOKUP(F$2,'Interest and Inflation CL'!$A$2:$A$11,'Interest and Inflation CL'!$C$2:$C$11))^(1/2)-1)</f>
        <v>80825676.181919828</v>
      </c>
      <c r="G23" s="3">
        <f>(G21+G22)*((1+_xlfn.XLOOKUP(G$2,'Interest and Inflation CL'!$A$2:$A$11,'Interest and Inflation CL'!$C$2:$C$11))^(1/2)-1)</f>
        <v>61139610.344620012</v>
      </c>
      <c r="H23" s="3">
        <f>(H21+H22)*((1+_xlfn.XLOOKUP(H$2,'Interest and Inflation CL'!$A$2:$A$11,'Interest and Inflation CL'!$C$2:$C$11))^(1/2)-1)</f>
        <v>39987950.210647911</v>
      </c>
      <c r="I23" s="3">
        <f>(I21+I22)*((1+_xlfn.XLOOKUP(I$2,'Interest and Inflation CL'!$A$2:$A$11,'Interest and Inflation CL'!$C$2:$C$11))^(1/2)-1)</f>
        <v>17347899.424620971</v>
      </c>
      <c r="J23" s="3">
        <f>(J21+J22)*((1+_xlfn.XLOOKUP(J$2,'Interest and Inflation CL'!$A$2:$A$11,'Interest and Inflation CL'!$C$2:$C$11))^(1/2)-1)</f>
        <v>-6824293.5901871705</v>
      </c>
      <c r="K23" s="3">
        <f>(K21+K22)*((1+_xlfn.XLOOKUP(K$2,'Interest and Inflation CL'!$A$2:$A$11,'Interest and Inflation CL'!$C$2:$C$11))^(1/2)-1)</f>
        <v>-32585033.730010506</v>
      </c>
      <c r="L23" s="3">
        <f>(L21+L22)*((1+_xlfn.XLOOKUP(L$2,'Interest and Inflation CL'!$A$2:$A$11,'Interest and Inflation CL'!$C$2:$C$11))^(1/2)-1)</f>
        <v>-59998798.615446933</v>
      </c>
      <c r="M23" s="3"/>
    </row>
    <row r="24" spans="1:13">
      <c r="B24" t="s">
        <v>57</v>
      </c>
      <c r="C24" s="4">
        <f>'Summary CL'!$B$13*((1+_xlfn.XLOOKUP(C$2,'Interest and Inflation CL'!$A$2:$A$11,'Interest and Inflation CL'!$D$2:$D$11))^(1/2))*(1+'Interest and Inflation CL'!$K$12)</f>
        <v>17390738926.209244</v>
      </c>
      <c r="D24" s="3">
        <f>'Summary CL'!$B$13*((1+_xlfn.XLOOKUP(D$2,'Interest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18212475623.951496</v>
      </c>
      <c r="E24" s="3">
        <f>'Summary CL'!$B$13*((1+_xlfn.XLOOKUP(E$2,'Interest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19067941775.278538</v>
      </c>
      <c r="F24" s="3">
        <f>'Summary CL'!$B$13*((1+_xlfn.XLOOKUP(F$2,'Interest and Inflation CL'!$A$2:$A$11,'Interest and Inflation CL'!$D$2:$D$11))^(1/2))*_xlfn.XLOOKUP(F$2,'Interest and Inflation CL'!$G$2:$G$11,'Interest and Inflation CL'!$F$2:$F$11)*(_xlfn.XLOOKUP(F$2,'Interest and Inflation CL'!$G$2:$G$11,'Interest and Inflation CL'!$K$2:$K$11) + 'Interest and Inflation CL'!$K$12)</f>
        <v>19956976956.806221</v>
      </c>
      <c r="G24" s="3">
        <f>'Summary CL'!$B$13*((1+_xlfn.XLOOKUP(G$2,'Interest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20879897591.151711</v>
      </c>
      <c r="H24" s="3">
        <f>'Summary CL'!$B$13*((1+_xlfn.XLOOKUP(H$2,'Interest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21837328899.370525</v>
      </c>
      <c r="I24" s="3">
        <f>'Summary CL'!$B$13*((1+_xlfn.XLOOKUP(I$2,'Interest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22830101070.069061</v>
      </c>
      <c r="J24" s="3">
        <f>'Summary CL'!$B$13*((1+_xlfn.XLOOKUP(J$2,'Interest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23859185203.705379</v>
      </c>
      <c r="K24" s="3">
        <f>'Summary CL'!$B$13*((1+_xlfn.XLOOKUP(K$2,'Interest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24925653952.012897</v>
      </c>
      <c r="L24" s="3">
        <f>'Summary CL'!$B$13*((1+_xlfn.XLOOKUP(L$2,'Interest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26030657476.580845</v>
      </c>
      <c r="M24" s="3"/>
    </row>
    <row r="25" spans="1:13">
      <c r="B25" t="s">
        <v>24</v>
      </c>
      <c r="C25" s="3">
        <f>C21+C22+C23-C24</f>
        <v>-2471310381.988306</v>
      </c>
      <c r="D25" s="3">
        <f t="shared" ref="D25:L25" si="7">D21+D22+D23-D24</f>
        <v>-5100520229.767786</v>
      </c>
      <c r="E25" s="3">
        <f t="shared" si="7"/>
        <v>-7895314414.5140934</v>
      </c>
      <c r="F25" s="3">
        <f t="shared" si="7"/>
        <v>-10863293231.744349</v>
      </c>
      <c r="G25" s="3">
        <f t="shared" si="7"/>
        <v>-14012155563.184145</v>
      </c>
      <c r="H25" s="3">
        <f t="shared" si="7"/>
        <v>-17349799563.403786</v>
      </c>
      <c r="I25" s="3">
        <f t="shared" si="7"/>
        <v>-20884379020.672653</v>
      </c>
      <c r="J25" s="3">
        <f t="shared" si="7"/>
        <v>-24624336240.176365</v>
      </c>
      <c r="K25" s="3">
        <f t="shared" si="7"/>
        <v>-28578422955.784611</v>
      </c>
      <c r="L25" s="3">
        <f t="shared" si="7"/>
        <v>-32755715304.502575</v>
      </c>
      <c r="M25" s="3"/>
    </row>
    <row r="26" spans="1:13">
      <c r="B26" t="s">
        <v>25</v>
      </c>
      <c r="C26" s="3">
        <f>C25*((1+_xlfn.XLOOKUP(C$2,'Interest and Inflation CL'!$A$2:$A$11,'Interest and Inflation CL'!$C$2:$C$11))^(1/2)-1)</f>
        <v>-21824472.00261547</v>
      </c>
      <c r="D26" s="3">
        <f>D25*((1+_xlfn.XLOOKUP(D$2,'Interest and Inflation CL'!$A$2:$A$11,'Interest and Inflation CL'!$C$2:$C$11))^(1/2)-1)</f>
        <v>-45402428.187953554</v>
      </c>
      <c r="E26" s="3">
        <f>E25*((1+_xlfn.XLOOKUP(E$2,'Interest and Inflation CL'!$A$2:$A$11,'Interest and Inflation CL'!$C$2:$C$11))^(1/2)-1)</f>
        <v>-70609196.569133818</v>
      </c>
      <c r="F26" s="3">
        <f>F25*((1+_xlfn.XLOOKUP(F$2,'Interest and Inflation CL'!$A$2:$A$11,'Interest and Inflation CL'!$C$2:$C$11))^(1/2)-1)</f>
        <v>-97420043.260009527</v>
      </c>
      <c r="G26" s="3">
        <f>G25*((1+_xlfn.XLOOKUP(G$2,'Interest and Inflation CL'!$A$2:$A$11,'Interest and Inflation CL'!$C$2:$C$11))^(1/2)-1)</f>
        <v>-125862754.81629509</v>
      </c>
      <c r="H26" s="3">
        <f>H25*((1+_xlfn.XLOOKUP(H$2,'Interest and Inflation CL'!$A$2:$A$11,'Interest and Inflation CL'!$C$2:$C$11))^(1/2)-1)</f>
        <v>-155992459.86289278</v>
      </c>
      <c r="I26" s="3">
        <f>I25*((1+_xlfn.XLOOKUP(I$2,'Interest and Inflation CL'!$A$2:$A$11,'Interest and Inflation CL'!$C$2:$C$11))^(1/2)-1)</f>
        <v>-187878533.22011918</v>
      </c>
      <c r="J26" s="3">
        <f>J25*((1+_xlfn.XLOOKUP(J$2,'Interest and Inflation CL'!$A$2:$A$11,'Interest and Inflation CL'!$C$2:$C$11))^(1/2)-1)</f>
        <v>-221598013.71117419</v>
      </c>
      <c r="K26" s="3">
        <f>K25*((1+_xlfn.XLOOKUP(K$2,'Interest and Inflation CL'!$A$2:$A$11,'Interest and Inflation CL'!$C$2:$C$11))^(1/2)-1)</f>
        <v>-257232473.17567149</v>
      </c>
      <c r="L26" s="3">
        <f>L25*((1+_xlfn.XLOOKUP(L$2,'Interest and Inflation CL'!$A$2:$A$11,'Interest and Inflation CL'!$C$2:$C$11))^(1/2)-1)</f>
        <v>-294866640.70315325</v>
      </c>
      <c r="M26" s="3"/>
    </row>
    <row r="27" spans="1:13">
      <c r="B27" t="s">
        <v>26</v>
      </c>
      <c r="C27" s="3">
        <f>C25+C26</f>
        <v>-2493134853.9909215</v>
      </c>
      <c r="D27" s="3">
        <f t="shared" ref="D27:L27" si="8">D25+D26</f>
        <v>-5145922657.95574</v>
      </c>
      <c r="E27" s="3">
        <f t="shared" si="8"/>
        <v>-7965923611.0832272</v>
      </c>
      <c r="F27" s="3">
        <f t="shared" si="8"/>
        <v>-10960713275.004358</v>
      </c>
      <c r="G27" s="3">
        <f t="shared" si="8"/>
        <v>-14138018318.000441</v>
      </c>
      <c r="H27" s="3">
        <f t="shared" si="8"/>
        <v>-17505792023.266678</v>
      </c>
      <c r="I27" s="3">
        <f t="shared" si="8"/>
        <v>-21072257553.892773</v>
      </c>
      <c r="J27" s="3">
        <f t="shared" si="8"/>
        <v>-24845934253.887539</v>
      </c>
      <c r="K27" s="3">
        <f t="shared" si="8"/>
        <v>-28835655428.960281</v>
      </c>
      <c r="L27" s="3">
        <f t="shared" si="8"/>
        <v>-33050581945.205727</v>
      </c>
      <c r="M27" s="3"/>
    </row>
    <row r="29" spans="1:13">
      <c r="A29" s="2"/>
      <c r="B29" s="2"/>
    </row>
    <row r="30" spans="1:1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3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3:12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3:12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3:12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3:12">
      <c r="C36" s="6"/>
      <c r="D36" s="6"/>
      <c r="E36" s="6"/>
      <c r="F36" s="6"/>
      <c r="G36" s="6"/>
      <c r="H36" s="6"/>
      <c r="I36" s="6"/>
      <c r="J36" s="6"/>
      <c r="K36" s="6"/>
      <c r="L36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9E31-8E37-4194-A041-8574EAEBA405}">
  <dimension ref="A1:P13"/>
  <sheetViews>
    <sheetView zoomScale="163" zoomScaleNormal="100" workbookViewId="0">
      <selection activeCell="B13" sqref="B13"/>
    </sheetView>
  </sheetViews>
  <sheetFormatPr defaultColWidth="8.85546875" defaultRowHeight="14.45"/>
  <cols>
    <col min="1" max="1" width="27.85546875" bestFit="1" customWidth="1"/>
    <col min="2" max="2" width="21.42578125" bestFit="1" customWidth="1"/>
    <col min="3" max="4" width="17.42578125" bestFit="1" customWidth="1"/>
    <col min="5" max="5" width="18.42578125" bestFit="1" customWidth="1"/>
    <col min="7" max="7" width="26.85546875" bestFit="1" customWidth="1"/>
    <col min="8" max="8" width="17.42578125" bestFit="1" customWidth="1"/>
    <col min="9" max="9" width="16" bestFit="1" customWidth="1"/>
    <col min="10" max="10" width="16.42578125" bestFit="1" customWidth="1"/>
    <col min="11" max="11" width="17.42578125" bestFit="1" customWidth="1"/>
    <col min="13" max="13" width="26.85546875" bestFit="1" customWidth="1"/>
    <col min="14" max="17" width="16.42578125" bestFit="1" customWidth="1"/>
  </cols>
  <sheetData>
    <row r="1" spans="1:16">
      <c r="A1" s="1" t="s">
        <v>66</v>
      </c>
      <c r="D1" s="1" t="s">
        <v>67</v>
      </c>
      <c r="G1" s="1" t="s">
        <v>68</v>
      </c>
    </row>
    <row r="2" spans="1:16">
      <c r="B2" s="2" t="s">
        <v>0</v>
      </c>
      <c r="C2" s="2"/>
      <c r="E2" s="2" t="s">
        <v>0</v>
      </c>
      <c r="H2" s="2" t="s">
        <v>0</v>
      </c>
      <c r="I2" s="2"/>
      <c r="J2" s="2"/>
      <c r="O2" s="2"/>
      <c r="P2" s="2"/>
    </row>
    <row r="3" spans="1:16">
      <c r="A3" s="2" t="s">
        <v>6</v>
      </c>
      <c r="B3" s="6">
        <f>'Cargo Loss'!M21</f>
        <v>-33050581945.205727</v>
      </c>
      <c r="C3" s="6"/>
      <c r="D3" s="2" t="s">
        <v>6</v>
      </c>
      <c r="E3" s="6">
        <f>'Cargo Loss'!F27</f>
        <v>-10960713275.004358</v>
      </c>
      <c r="G3" s="2" t="s">
        <v>6</v>
      </c>
      <c r="H3" s="6">
        <f>'Cargo Loss'!D27</f>
        <v>-5145922657.95574</v>
      </c>
      <c r="I3" s="6"/>
      <c r="J3" s="6"/>
      <c r="O3" s="6"/>
      <c r="P3" s="6"/>
    </row>
    <row r="4" spans="1:16">
      <c r="A4" s="2" t="s">
        <v>62</v>
      </c>
      <c r="B4" s="6">
        <f>'Cargo Loss'!M12</f>
        <v>2122527743.8109949</v>
      </c>
      <c r="C4" s="6"/>
      <c r="D4" s="2" t="s">
        <v>62</v>
      </c>
      <c r="E4" s="6">
        <f>'Cargo Loss'!F18</f>
        <v>659866556.39810288</v>
      </c>
      <c r="G4" s="2" t="s">
        <v>62</v>
      </c>
      <c r="H4" s="6">
        <f>'Cargo Loss'!C18</f>
        <v>145372375.14538822</v>
      </c>
      <c r="I4" s="6"/>
      <c r="J4" s="6"/>
      <c r="O4" s="6"/>
      <c r="P4" s="6"/>
    </row>
    <row r="5" spans="1:16">
      <c r="A5" s="2" t="s">
        <v>10</v>
      </c>
      <c r="B5" s="6">
        <f>'Cargo Loss'!M3</f>
        <v>43415419644.085838</v>
      </c>
      <c r="C5" s="6"/>
      <c r="D5" s="2" t="s">
        <v>10</v>
      </c>
      <c r="E5" s="6">
        <f>'Cargo Loss'!F9</f>
        <v>14302315320.21767</v>
      </c>
      <c r="G5" s="2" t="s">
        <v>10</v>
      </c>
      <c r="H5" s="6">
        <f>'Cargo Loss'!C9</f>
        <v>3242954441.5056181</v>
      </c>
      <c r="I5" s="6"/>
      <c r="J5" s="6"/>
      <c r="O5" s="6"/>
      <c r="P5" s="6"/>
    </row>
    <row r="7" spans="1:16">
      <c r="C7" s="2"/>
      <c r="D7" s="2"/>
      <c r="E7" s="2"/>
      <c r="F7" s="2"/>
    </row>
    <row r="8" spans="1:16">
      <c r="A8" s="2" t="s">
        <v>56</v>
      </c>
      <c r="B8" s="12">
        <v>14788826443</v>
      </c>
      <c r="C8" s="11"/>
    </row>
    <row r="10" spans="1:16">
      <c r="B10" s="2" t="s">
        <v>63</v>
      </c>
      <c r="C10" s="2"/>
    </row>
    <row r="11" spans="1:16">
      <c r="A11" s="2" t="s">
        <v>64</v>
      </c>
      <c r="B11" s="11">
        <v>11436391362</v>
      </c>
    </row>
    <row r="12" spans="1:16">
      <c r="A12" s="2" t="s">
        <v>58</v>
      </c>
      <c r="B12" s="11">
        <v>14436431341</v>
      </c>
    </row>
    <row r="13" spans="1:16">
      <c r="A13" s="2" t="s">
        <v>65</v>
      </c>
      <c r="B13" s="11">
        <v>16991852635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E4DB-A5A9-476E-88BD-1770B4C3F0AE}">
  <dimension ref="A1:P12"/>
  <sheetViews>
    <sheetView zoomScale="120" zoomScaleNormal="120" workbookViewId="0">
      <selection activeCell="K3" sqref="K3"/>
    </sheetView>
  </sheetViews>
  <sheetFormatPr defaultColWidth="8.85546875" defaultRowHeight="14.45"/>
  <cols>
    <col min="1" max="2" width="9" bestFit="1" customWidth="1"/>
    <col min="3" max="3" width="11.5703125" bestFit="1" customWidth="1"/>
    <col min="4" max="5" width="9" bestFit="1" customWidth="1"/>
    <col min="6" max="6" width="12" bestFit="1" customWidth="1"/>
    <col min="7" max="7" width="9" bestFit="1" customWidth="1"/>
  </cols>
  <sheetData>
    <row r="1" spans="1:16">
      <c r="A1" t="s">
        <v>33</v>
      </c>
      <c r="B1" t="s">
        <v>15</v>
      </c>
      <c r="C1" t="s">
        <v>34</v>
      </c>
      <c r="D1" t="s">
        <v>35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6">
      <c r="A2">
        <v>0</v>
      </c>
      <c r="B2">
        <v>2175</v>
      </c>
      <c r="C2" s="7">
        <v>1.7740255999999999E-2</v>
      </c>
      <c r="D2" s="8">
        <v>2.4352561000000002E-2</v>
      </c>
      <c r="E2">
        <f>1+D2</f>
        <v>1.0243525609999999</v>
      </c>
      <c r="F2">
        <f>PRODUCT(E2)</f>
        <v>1.0243525609999999</v>
      </c>
      <c r="G2">
        <v>1</v>
      </c>
      <c r="H2">
        <f>0.25/10*$G2 + 1</f>
        <v>1.0249999999999999</v>
      </c>
      <c r="I2">
        <f t="shared" ref="I2:I11" si="0">0.25/10*$G2 + 1</f>
        <v>1.0249999999999999</v>
      </c>
      <c r="J2">
        <f>0.15/10*$G2 + 1</f>
        <v>1.0149999999999999</v>
      </c>
      <c r="K2">
        <f>($K$11-1)/10*G2+1</f>
        <v>1.022472240365774</v>
      </c>
      <c r="N2" s="12">
        <v>58</v>
      </c>
      <c r="O2" s="12">
        <v>56</v>
      </c>
      <c r="P2" s="12">
        <v>39</v>
      </c>
    </row>
    <row r="3" spans="1:16">
      <c r="A3">
        <v>1</v>
      </c>
      <c r="B3">
        <v>2176</v>
      </c>
      <c r="C3">
        <v>1.7882294999999999E-2</v>
      </c>
      <c r="D3" s="8">
        <v>2.4616932000000001E-2</v>
      </c>
      <c r="E3">
        <f t="shared" ref="E3:E11" si="1">1+D3</f>
        <v>1.024616932</v>
      </c>
      <c r="F3">
        <f>PRODUCT($E$2:E3)</f>
        <v>1.0495689783381628</v>
      </c>
      <c r="G3">
        <v>2</v>
      </c>
      <c r="H3">
        <f t="shared" ref="H3:H11" si="2">0.25/10*$G3 + 1</f>
        <v>1.05</v>
      </c>
      <c r="I3">
        <f t="shared" si="0"/>
        <v>1.05</v>
      </c>
      <c r="J3">
        <f t="shared" ref="J3:J11" si="3">0.15/10*$G3 + 1</f>
        <v>1.03</v>
      </c>
      <c r="K3">
        <f t="shared" ref="K3:K10" si="4">($K$11-1)/10*G3+1</f>
        <v>1.044944480731548</v>
      </c>
      <c r="N3" s="12">
        <v>116</v>
      </c>
      <c r="O3" s="12">
        <v>113</v>
      </c>
      <c r="P3" s="12">
        <v>77</v>
      </c>
    </row>
    <row r="4" spans="1:16">
      <c r="A4">
        <v>2</v>
      </c>
      <c r="B4">
        <v>2177</v>
      </c>
      <c r="C4">
        <v>1.7966335E-2</v>
      </c>
      <c r="D4" s="8">
        <v>2.4773351999999998E-2</v>
      </c>
      <c r="E4">
        <f t="shared" si="1"/>
        <v>1.024773352</v>
      </c>
      <c r="F4">
        <f>PRODUCT($E$2:E4)</f>
        <v>1.0755703200868143</v>
      </c>
      <c r="G4">
        <v>3</v>
      </c>
      <c r="H4">
        <f t="shared" si="2"/>
        <v>1.075</v>
      </c>
      <c r="I4">
        <f t="shared" si="0"/>
        <v>1.075</v>
      </c>
      <c r="J4">
        <f t="shared" si="3"/>
        <v>1.0449999999999999</v>
      </c>
      <c r="K4">
        <f t="shared" si="4"/>
        <v>1.067416721097322</v>
      </c>
      <c r="N4" s="12">
        <v>580</v>
      </c>
      <c r="O4" s="12">
        <v>564</v>
      </c>
      <c r="P4" s="12">
        <v>387</v>
      </c>
    </row>
    <row r="5" spans="1:16">
      <c r="A5">
        <v>3</v>
      </c>
      <c r="B5">
        <v>2178</v>
      </c>
      <c r="C5">
        <v>1.8016059000000001E-2</v>
      </c>
      <c r="D5" s="8">
        <v>2.48659E-2</v>
      </c>
      <c r="E5">
        <f t="shared" si="1"/>
        <v>1.0248659</v>
      </c>
      <c r="F5">
        <f>PRODUCT($E$2:E5)</f>
        <v>1.102315344109061</v>
      </c>
      <c r="G5">
        <v>4</v>
      </c>
      <c r="H5">
        <f t="shared" si="2"/>
        <v>1.1000000000000001</v>
      </c>
      <c r="I5">
        <f t="shared" si="0"/>
        <v>1.1000000000000001</v>
      </c>
      <c r="J5">
        <f t="shared" si="3"/>
        <v>1.06</v>
      </c>
      <c r="K5">
        <f t="shared" si="4"/>
        <v>1.089888961463096</v>
      </c>
      <c r="N5" s="12">
        <v>232</v>
      </c>
      <c r="O5" s="12">
        <v>226</v>
      </c>
      <c r="P5" s="12">
        <v>155</v>
      </c>
    </row>
    <row r="6" spans="1:16">
      <c r="A6">
        <v>4</v>
      </c>
      <c r="B6">
        <v>2179</v>
      </c>
      <c r="C6">
        <v>1.8045479E-2</v>
      </c>
      <c r="D6" s="8">
        <v>2.4920657999999998E-2</v>
      </c>
      <c r="E6">
        <f t="shared" si="1"/>
        <v>1.0249206580000001</v>
      </c>
      <c r="F6">
        <f>PRODUCT($E$2:E6)</f>
        <v>1.1297857678077552</v>
      </c>
      <c r="G6">
        <v>5</v>
      </c>
      <c r="H6">
        <f t="shared" si="2"/>
        <v>1.125</v>
      </c>
      <c r="I6">
        <f t="shared" si="0"/>
        <v>1.125</v>
      </c>
      <c r="J6">
        <f t="shared" si="3"/>
        <v>1.075</v>
      </c>
      <c r="K6">
        <f t="shared" si="4"/>
        <v>1.11236120182887</v>
      </c>
      <c r="N6" s="16">
        <v>174</v>
      </c>
      <c r="O6" s="16">
        <v>169</v>
      </c>
      <c r="P6" s="16">
        <v>116</v>
      </c>
    </row>
    <row r="7" spans="1:16">
      <c r="A7">
        <v>5</v>
      </c>
      <c r="B7">
        <v>2180</v>
      </c>
      <c r="C7">
        <v>1.8062886E-2</v>
      </c>
      <c r="D7" s="8">
        <v>2.4953056000000001E-2</v>
      </c>
      <c r="E7">
        <f t="shared" si="1"/>
        <v>1.024953056</v>
      </c>
      <c r="F7">
        <f>PRODUCT($E$2:E7)</f>
        <v>1.157977375339865</v>
      </c>
      <c r="G7">
        <v>6</v>
      </c>
      <c r="H7">
        <f t="shared" si="2"/>
        <v>1.1499999999999999</v>
      </c>
      <c r="I7">
        <f t="shared" si="0"/>
        <v>1.1499999999999999</v>
      </c>
      <c r="J7">
        <f t="shared" si="3"/>
        <v>1.0900000000000001</v>
      </c>
      <c r="K7">
        <f t="shared" si="4"/>
        <v>1.134833442194644</v>
      </c>
      <c r="N7" s="12">
        <v>1160</v>
      </c>
      <c r="O7" s="12">
        <v>1128</v>
      </c>
      <c r="P7" s="12">
        <v>774</v>
      </c>
    </row>
    <row r="8" spans="1:16">
      <c r="A8">
        <v>6</v>
      </c>
      <c r="B8">
        <v>2181</v>
      </c>
      <c r="C8">
        <v>1.8073184999999999E-2</v>
      </c>
      <c r="D8" s="8">
        <v>2.4972225000000001E-2</v>
      </c>
      <c r="E8">
        <f t="shared" si="1"/>
        <v>1.024972225</v>
      </c>
      <c r="F8">
        <f>PRODUCT($E$2:E8)</f>
        <v>1.1868946469017616</v>
      </c>
      <c r="G8">
        <v>7</v>
      </c>
      <c r="H8">
        <f t="shared" si="2"/>
        <v>1.175</v>
      </c>
      <c r="I8">
        <f t="shared" si="0"/>
        <v>1.175</v>
      </c>
      <c r="J8">
        <f t="shared" si="3"/>
        <v>1.105</v>
      </c>
      <c r="K8">
        <f t="shared" si="4"/>
        <v>1.157305682560418</v>
      </c>
    </row>
    <row r="9" spans="1:16">
      <c r="A9">
        <v>7</v>
      </c>
      <c r="B9">
        <v>2182</v>
      </c>
      <c r="C9">
        <v>1.8079278000000001E-2</v>
      </c>
      <c r="D9" s="8">
        <v>2.4983565999999999E-2</v>
      </c>
      <c r="E9">
        <f t="shared" si="1"/>
        <v>1.024983566</v>
      </c>
      <c r="F9">
        <f>PRODUCT($E$2:E9)</f>
        <v>1.2165475076476784</v>
      </c>
      <c r="G9">
        <v>8</v>
      </c>
      <c r="H9">
        <f t="shared" si="2"/>
        <v>1.2</v>
      </c>
      <c r="I9">
        <f t="shared" si="0"/>
        <v>1.2</v>
      </c>
      <c r="J9">
        <f t="shared" si="3"/>
        <v>1.1200000000000001</v>
      </c>
      <c r="K9">
        <f t="shared" si="4"/>
        <v>1.179777922926192</v>
      </c>
    </row>
    <row r="10" spans="1:16">
      <c r="A10">
        <v>8</v>
      </c>
      <c r="B10">
        <v>2183</v>
      </c>
      <c r="C10">
        <v>1.8082883000000001E-2</v>
      </c>
      <c r="D10" s="8">
        <v>2.4990277000000002E-2</v>
      </c>
      <c r="E10">
        <f t="shared" si="1"/>
        <v>1.0249902769999999</v>
      </c>
      <c r="F10">
        <f>PRODUCT($E$2:E10)</f>
        <v>1.2469493668474534</v>
      </c>
      <c r="G10">
        <v>9</v>
      </c>
      <c r="H10">
        <f t="shared" si="2"/>
        <v>1.2250000000000001</v>
      </c>
      <c r="I10">
        <f t="shared" si="0"/>
        <v>1.2250000000000001</v>
      </c>
      <c r="J10">
        <f t="shared" si="3"/>
        <v>1.135</v>
      </c>
      <c r="K10">
        <f t="shared" si="4"/>
        <v>1.202250163291966</v>
      </c>
    </row>
    <row r="11" spans="1:16">
      <c r="A11">
        <v>9</v>
      </c>
      <c r="B11">
        <v>2184</v>
      </c>
      <c r="C11">
        <v>1.8085016999999998E-2</v>
      </c>
      <c r="D11" s="8">
        <v>2.4994247000000001E-2</v>
      </c>
      <c r="E11">
        <f t="shared" si="1"/>
        <v>1.024994247</v>
      </c>
      <c r="F11">
        <f>PRODUCT($E$2:E11)</f>
        <v>1.2781159273189322</v>
      </c>
      <c r="G11">
        <v>10</v>
      </c>
      <c r="H11">
        <f t="shared" si="2"/>
        <v>1.25</v>
      </c>
      <c r="I11">
        <f t="shared" si="0"/>
        <v>1.25</v>
      </c>
      <c r="J11">
        <f t="shared" si="3"/>
        <v>1.1499999999999999</v>
      </c>
      <c r="K11">
        <f>H11*(N7/SUM($N$7:$P$7)) + I11*(O7/SUM(N7:P7))+J11*(P7/SUM(N7:P7))</f>
        <v>1.22472240365774</v>
      </c>
    </row>
    <row r="12" spans="1:16">
      <c r="H12">
        <f>0.25/10/2</f>
        <v>1.2500000000000001E-2</v>
      </c>
      <c r="I12">
        <f>0.25/10/2</f>
        <v>1.2500000000000001E-2</v>
      </c>
      <c r="J12">
        <f>0.15/10/2</f>
        <v>7.4999999999999997E-3</v>
      </c>
      <c r="K12">
        <f>(K11-1)/10/2</f>
        <v>1.1236120182886999E-2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627D-B3EB-4094-8F3A-14F7AEAFA255}">
  <dimension ref="A1:P12"/>
  <sheetViews>
    <sheetView topLeftCell="D1" zoomScale="172" workbookViewId="0">
      <selection activeCell="K12" sqref="K12"/>
    </sheetView>
  </sheetViews>
  <sheetFormatPr defaultColWidth="8.85546875" defaultRowHeight="14.45"/>
  <cols>
    <col min="1" max="2" width="9" bestFit="1" customWidth="1"/>
    <col min="3" max="3" width="11.7109375" bestFit="1" customWidth="1"/>
    <col min="4" max="5" width="9" bestFit="1" customWidth="1"/>
    <col min="6" max="6" width="12" bestFit="1" customWidth="1"/>
    <col min="7" max="7" width="9" bestFit="1" customWidth="1"/>
  </cols>
  <sheetData>
    <row r="1" spans="1:16">
      <c r="A1" t="s">
        <v>33</v>
      </c>
      <c r="B1" t="s">
        <v>15</v>
      </c>
      <c r="C1" t="s">
        <v>34</v>
      </c>
      <c r="D1" t="s">
        <v>35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6">
      <c r="A2">
        <v>0</v>
      </c>
      <c r="B2">
        <v>2175</v>
      </c>
      <c r="C2" s="7">
        <v>1.7740255999999999E-2</v>
      </c>
      <c r="D2" s="8">
        <v>2.4352561000000002E-2</v>
      </c>
      <c r="E2">
        <f>1+D2</f>
        <v>1.0243525609999999</v>
      </c>
      <c r="F2">
        <f>PRODUCT(E2)</f>
        <v>1.0243525609999999</v>
      </c>
      <c r="G2">
        <v>1</v>
      </c>
      <c r="H2">
        <f>0.25/10*$G2 + 1</f>
        <v>1.0249999999999999</v>
      </c>
      <c r="I2">
        <f t="shared" ref="I2:I11" si="0">0.25/10*$G2 + 1</f>
        <v>1.0249999999999999</v>
      </c>
      <c r="J2">
        <f>0.15/10*$G2 + 1</f>
        <v>1.0149999999999999</v>
      </c>
      <c r="K2">
        <f>($K$11-1)/10*G2+1</f>
        <v>1.022472240365774</v>
      </c>
      <c r="N2" s="12">
        <v>58</v>
      </c>
      <c r="O2" s="12">
        <v>56</v>
      </c>
      <c r="P2" s="12">
        <v>39</v>
      </c>
    </row>
    <row r="3" spans="1:16">
      <c r="A3">
        <v>1</v>
      </c>
      <c r="B3">
        <v>2176</v>
      </c>
      <c r="C3">
        <v>1.7882294999999999E-2</v>
      </c>
      <c r="D3" s="8">
        <v>2.4616932000000001E-2</v>
      </c>
      <c r="E3">
        <f t="shared" ref="E3:E11" si="1">1+D3</f>
        <v>1.024616932</v>
      </c>
      <c r="F3">
        <f>PRODUCT($E$2:E3)</f>
        <v>1.0495689783381628</v>
      </c>
      <c r="G3">
        <v>2</v>
      </c>
      <c r="H3">
        <f t="shared" ref="H3:H11" si="2">0.25/10*$G3 + 1</f>
        <v>1.05</v>
      </c>
      <c r="I3">
        <f t="shared" si="0"/>
        <v>1.05</v>
      </c>
      <c r="J3">
        <f t="shared" ref="J3:J11" si="3">0.15/10*$G3 + 1</f>
        <v>1.03</v>
      </c>
      <c r="K3">
        <f t="shared" ref="K3:K10" si="4">($K$11-1)/10*G3+1</f>
        <v>1.044944480731548</v>
      </c>
      <c r="N3" s="12">
        <v>116</v>
      </c>
      <c r="O3" s="12">
        <v>113</v>
      </c>
      <c r="P3" s="12">
        <v>77</v>
      </c>
    </row>
    <row r="4" spans="1:16">
      <c r="A4">
        <v>2</v>
      </c>
      <c r="B4">
        <v>2177</v>
      </c>
      <c r="C4">
        <v>1.7966335E-2</v>
      </c>
      <c r="D4" s="8">
        <v>2.4773351999999998E-2</v>
      </c>
      <c r="E4">
        <f t="shared" si="1"/>
        <v>1.024773352</v>
      </c>
      <c r="F4">
        <f>PRODUCT($E$2:E4)</f>
        <v>1.0755703200868143</v>
      </c>
      <c r="G4">
        <v>3</v>
      </c>
      <c r="H4">
        <f t="shared" si="2"/>
        <v>1.075</v>
      </c>
      <c r="I4">
        <f t="shared" si="0"/>
        <v>1.075</v>
      </c>
      <c r="J4">
        <f t="shared" si="3"/>
        <v>1.0449999999999999</v>
      </c>
      <c r="K4">
        <f t="shared" si="4"/>
        <v>1.067416721097322</v>
      </c>
      <c r="N4" s="12">
        <v>580</v>
      </c>
      <c r="O4" s="12">
        <v>564</v>
      </c>
      <c r="P4" s="12">
        <v>387</v>
      </c>
    </row>
    <row r="5" spans="1:16">
      <c r="A5">
        <v>3</v>
      </c>
      <c r="B5">
        <v>2178</v>
      </c>
      <c r="C5">
        <v>1.8016059000000001E-2</v>
      </c>
      <c r="D5" s="8">
        <v>2.48659E-2</v>
      </c>
      <c r="E5">
        <f t="shared" si="1"/>
        <v>1.0248659</v>
      </c>
      <c r="F5">
        <f>PRODUCT($E$2:E5)</f>
        <v>1.102315344109061</v>
      </c>
      <c r="G5">
        <v>4</v>
      </c>
      <c r="H5">
        <f t="shared" si="2"/>
        <v>1.1000000000000001</v>
      </c>
      <c r="I5">
        <f t="shared" si="0"/>
        <v>1.1000000000000001</v>
      </c>
      <c r="J5">
        <f t="shared" si="3"/>
        <v>1.06</v>
      </c>
      <c r="K5">
        <f t="shared" si="4"/>
        <v>1.089888961463096</v>
      </c>
      <c r="N5" s="12">
        <v>232</v>
      </c>
      <c r="O5" s="12">
        <v>226</v>
      </c>
      <c r="P5" s="12">
        <v>155</v>
      </c>
    </row>
    <row r="6" spans="1:16">
      <c r="A6">
        <v>4</v>
      </c>
      <c r="B6">
        <v>2179</v>
      </c>
      <c r="C6">
        <v>1.8045479E-2</v>
      </c>
      <c r="D6" s="8">
        <v>2.4920657999999998E-2</v>
      </c>
      <c r="E6">
        <f t="shared" si="1"/>
        <v>1.0249206580000001</v>
      </c>
      <c r="F6">
        <f>PRODUCT($E$2:E6)</f>
        <v>1.1297857678077552</v>
      </c>
      <c r="G6">
        <v>5</v>
      </c>
      <c r="H6">
        <f t="shared" si="2"/>
        <v>1.125</v>
      </c>
      <c r="I6">
        <f t="shared" si="0"/>
        <v>1.125</v>
      </c>
      <c r="J6">
        <f t="shared" si="3"/>
        <v>1.075</v>
      </c>
      <c r="K6">
        <f t="shared" si="4"/>
        <v>1.11236120182887</v>
      </c>
      <c r="N6" s="16">
        <v>174</v>
      </c>
      <c r="O6" s="16">
        <v>169</v>
      </c>
      <c r="P6" s="16">
        <v>116</v>
      </c>
    </row>
    <row r="7" spans="1:16">
      <c r="A7">
        <v>5</v>
      </c>
      <c r="B7">
        <v>2180</v>
      </c>
      <c r="C7">
        <v>1.8062886E-2</v>
      </c>
      <c r="D7" s="8">
        <v>2.4953056000000001E-2</v>
      </c>
      <c r="E7">
        <f t="shared" si="1"/>
        <v>1.024953056</v>
      </c>
      <c r="F7">
        <f>PRODUCT($E$2:E7)</f>
        <v>1.157977375339865</v>
      </c>
      <c r="G7">
        <v>6</v>
      </c>
      <c r="H7">
        <f t="shared" si="2"/>
        <v>1.1499999999999999</v>
      </c>
      <c r="I7">
        <f t="shared" si="0"/>
        <v>1.1499999999999999</v>
      </c>
      <c r="J7">
        <f t="shared" si="3"/>
        <v>1.0900000000000001</v>
      </c>
      <c r="K7">
        <f t="shared" si="4"/>
        <v>1.134833442194644</v>
      </c>
      <c r="N7" s="12">
        <v>1160</v>
      </c>
      <c r="O7" s="12">
        <v>1128</v>
      </c>
      <c r="P7" s="12">
        <v>774</v>
      </c>
    </row>
    <row r="8" spans="1:16">
      <c r="A8">
        <v>6</v>
      </c>
      <c r="B8">
        <v>2181</v>
      </c>
      <c r="C8">
        <v>1.8073184999999999E-2</v>
      </c>
      <c r="D8" s="8">
        <v>2.4972225000000001E-2</v>
      </c>
      <c r="E8">
        <f t="shared" si="1"/>
        <v>1.024972225</v>
      </c>
      <c r="F8">
        <f>PRODUCT($E$2:E8)</f>
        <v>1.1868946469017616</v>
      </c>
      <c r="G8">
        <v>7</v>
      </c>
      <c r="H8">
        <f t="shared" si="2"/>
        <v>1.175</v>
      </c>
      <c r="I8">
        <f t="shared" si="0"/>
        <v>1.175</v>
      </c>
      <c r="J8">
        <f t="shared" si="3"/>
        <v>1.105</v>
      </c>
      <c r="K8">
        <f t="shared" si="4"/>
        <v>1.157305682560418</v>
      </c>
    </row>
    <row r="9" spans="1:16">
      <c r="A9">
        <v>7</v>
      </c>
      <c r="B9">
        <v>2182</v>
      </c>
      <c r="C9">
        <v>1.8079278000000001E-2</v>
      </c>
      <c r="D9" s="8">
        <v>2.4983565999999999E-2</v>
      </c>
      <c r="E9">
        <f t="shared" si="1"/>
        <v>1.024983566</v>
      </c>
      <c r="F9">
        <f>PRODUCT($E$2:E9)</f>
        <v>1.2165475076476784</v>
      </c>
      <c r="G9">
        <v>8</v>
      </c>
      <c r="H9">
        <f t="shared" si="2"/>
        <v>1.2</v>
      </c>
      <c r="I9">
        <f t="shared" si="0"/>
        <v>1.2</v>
      </c>
      <c r="J9">
        <f t="shared" si="3"/>
        <v>1.1200000000000001</v>
      </c>
      <c r="K9">
        <f t="shared" si="4"/>
        <v>1.179777922926192</v>
      </c>
    </row>
    <row r="10" spans="1:16">
      <c r="A10">
        <v>8</v>
      </c>
      <c r="B10">
        <v>2183</v>
      </c>
      <c r="C10">
        <v>1.8082883000000001E-2</v>
      </c>
      <c r="D10" s="8">
        <v>2.4990277000000002E-2</v>
      </c>
      <c r="E10">
        <f t="shared" si="1"/>
        <v>1.0249902769999999</v>
      </c>
      <c r="F10">
        <f>PRODUCT($E$2:E10)</f>
        <v>1.2469493668474534</v>
      </c>
      <c r="G10">
        <v>9</v>
      </c>
      <c r="H10">
        <f t="shared" si="2"/>
        <v>1.2250000000000001</v>
      </c>
      <c r="I10">
        <f t="shared" si="0"/>
        <v>1.2250000000000001</v>
      </c>
      <c r="J10">
        <f t="shared" si="3"/>
        <v>1.135</v>
      </c>
      <c r="K10">
        <f t="shared" si="4"/>
        <v>1.202250163291966</v>
      </c>
    </row>
    <row r="11" spans="1:16">
      <c r="A11">
        <v>9</v>
      </c>
      <c r="B11">
        <v>2184</v>
      </c>
      <c r="C11">
        <v>1.8085016999999998E-2</v>
      </c>
      <c r="D11" s="8">
        <v>2.4994247000000001E-2</v>
      </c>
      <c r="E11">
        <f t="shared" si="1"/>
        <v>1.024994247</v>
      </c>
      <c r="F11">
        <f>PRODUCT($E$2:E11)</f>
        <v>1.2781159273189322</v>
      </c>
      <c r="G11">
        <v>10</v>
      </c>
      <c r="H11">
        <f t="shared" si="2"/>
        <v>1.25</v>
      </c>
      <c r="I11">
        <f t="shared" si="0"/>
        <v>1.25</v>
      </c>
      <c r="J11">
        <f t="shared" si="3"/>
        <v>1.1499999999999999</v>
      </c>
      <c r="K11">
        <f>H11*(N7/SUM($N$7:$P$7)) + I11*(O7/SUM(N7:P7))+J11*(P7/SUM(N7:P7))</f>
        <v>1.22472240365774</v>
      </c>
    </row>
    <row r="12" spans="1:16">
      <c r="H12">
        <f>0.25/10/2</f>
        <v>1.2500000000000001E-2</v>
      </c>
      <c r="I12">
        <f>0.25/10/2</f>
        <v>1.2500000000000001E-2</v>
      </c>
      <c r="J12">
        <f>0.15/10/2</f>
        <v>7.4999999999999997E-3</v>
      </c>
      <c r="K12">
        <f>(K11-1)/10/2</f>
        <v>1.1236120182886999E-2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Vucic</cp:lastModifiedBy>
  <cp:revision/>
  <dcterms:created xsi:type="dcterms:W3CDTF">2026-03-23T23:37:31Z</dcterms:created>
  <dcterms:modified xsi:type="dcterms:W3CDTF">2026-03-29T02:13:04Z</dcterms:modified>
  <cp:category/>
  <cp:contentStatus/>
</cp:coreProperties>
</file>